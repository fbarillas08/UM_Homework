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rsair_Barillas\Documents\FAB\Quant\UMBootcamp\UM_Homework\Project_1\EV Data\"/>
    </mc:Choice>
  </mc:AlternateContent>
  <xr:revisionPtr revIDLastSave="0" documentId="13_ncr:1_{9424B495-7964-453E-B091-039A75C720FD}" xr6:coauthVersionLast="46" xr6:coauthVersionMax="46" xr10:uidLastSave="{00000000-0000-0000-0000-000000000000}"/>
  <bookViews>
    <workbookView xWindow="-28920" yWindow="-120" windowWidth="29040" windowHeight="15840" activeTab="3" xr2:uid="{3FE31DAA-CC05-45FC-8A00-2A9B90AC1A1B}"/>
  </bookViews>
  <sheets>
    <sheet name="City_Table" sheetId="1" r:id="rId1"/>
    <sheet name="Cars_Per_City" sheetId="2" r:id="rId2"/>
    <sheet name="Cars_Per_County" sheetId="3" r:id="rId3"/>
    <sheet name="County_Table" sheetId="6" r:id="rId4"/>
  </sheets>
  <definedNames>
    <definedName name="_xlnm._FilterDatabase" localSheetId="0" hidden="1">City_Table!$A$4:$G$216</definedName>
    <definedName name="City_Table">Cars_Per_City!$A$1:$B$438</definedName>
  </definedNames>
  <calcPr calcId="191029"/>
  <pivotCaches>
    <pivotCache cacheId="1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E1" i="2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2" i="1"/>
  <c r="G22" i="1" s="1"/>
  <c r="F23" i="1"/>
  <c r="G23" i="1" s="1"/>
  <c r="F24" i="1"/>
  <c r="G24" i="1" s="1"/>
  <c r="F6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1" i="1" l="1"/>
  <c r="G6" i="1"/>
</calcChain>
</file>

<file path=xl/sharedStrings.xml><?xml version="1.0" encoding="utf-8"?>
<sst xmlns="http://schemas.openxmlformats.org/spreadsheetml/2006/main" count="1202" uniqueCount="725">
  <si>
    <t>Name</t>
  </si>
  <si>
    <t>Aberdeen</t>
  </si>
  <si>
    <t>First</t>
  </si>
  <si>
    <t>Grays Harbor</t>
  </si>
  <si>
    <t>Airway Heights</t>
  </si>
  <si>
    <t>Code</t>
  </si>
  <si>
    <t>Spokane</t>
  </si>
  <si>
    <t>Algona</t>
  </si>
  <si>
    <t>King</t>
  </si>
  <si>
    <t>Anacortes</t>
  </si>
  <si>
    <t>Skagit</t>
  </si>
  <si>
    <t>Arlington</t>
  </si>
  <si>
    <t>Snohomish</t>
  </si>
  <si>
    <t>Asotin</t>
  </si>
  <si>
    <t>Auburn</t>
  </si>
  <si>
    <t>Bainbridge Island</t>
  </si>
  <si>
    <t>Kitsap</t>
  </si>
  <si>
    <t>Battle Ground</t>
  </si>
  <si>
    <t>Clark</t>
  </si>
  <si>
    <t>Bellevue</t>
  </si>
  <si>
    <t>Bellingham</t>
  </si>
  <si>
    <t>Whatcom</t>
  </si>
  <si>
    <t>Benton City</t>
  </si>
  <si>
    <t>Benton</t>
  </si>
  <si>
    <t>Bingen</t>
  </si>
  <si>
    <t>Klickitat</t>
  </si>
  <si>
    <t>Black Diamond</t>
  </si>
  <si>
    <t>Blaine</t>
  </si>
  <si>
    <t>Bonney Lake</t>
  </si>
  <si>
    <t>Pierce</t>
  </si>
  <si>
    <t>Bothell</t>
  </si>
  <si>
    <t>Bremerton</t>
  </si>
  <si>
    <t>Brewster</t>
  </si>
  <si>
    <t>Okanogan</t>
  </si>
  <si>
    <t>Bridgeport</t>
  </si>
  <si>
    <t>Douglas</t>
  </si>
  <si>
    <t>Brier</t>
  </si>
  <si>
    <t>Buckley</t>
  </si>
  <si>
    <t>Burien</t>
  </si>
  <si>
    <t>Burlington</t>
  </si>
  <si>
    <t>Camas</t>
  </si>
  <si>
    <t>Carnation</t>
  </si>
  <si>
    <t>Cashmere</t>
  </si>
  <si>
    <t>Chelan</t>
  </si>
  <si>
    <t>Castle Rock</t>
  </si>
  <si>
    <t>Cowlitz</t>
  </si>
  <si>
    <t>Centralia</t>
  </si>
  <si>
    <t>Lewis</t>
  </si>
  <si>
    <t>Chehalis</t>
  </si>
  <si>
    <t>Cheney</t>
  </si>
  <si>
    <t>Chewelah</t>
  </si>
  <si>
    <t>Stevens</t>
  </si>
  <si>
    <t>Clarkston</t>
  </si>
  <si>
    <t>Cle Elum</t>
  </si>
  <si>
    <t>Kittitas</t>
  </si>
  <si>
    <t>Clyde Hill</t>
  </si>
  <si>
    <t>Colfax</t>
  </si>
  <si>
    <t>Second</t>
  </si>
  <si>
    <t>Whitman</t>
  </si>
  <si>
    <t>College Place</t>
  </si>
  <si>
    <t>Walla Walla</t>
  </si>
  <si>
    <t>Colville</t>
  </si>
  <si>
    <t>Connell</t>
  </si>
  <si>
    <t>Franklin</t>
  </si>
  <si>
    <t>Cosmopolis</t>
  </si>
  <si>
    <t>Covington</t>
  </si>
  <si>
    <t>Davenport</t>
  </si>
  <si>
    <t>Lincoln</t>
  </si>
  <si>
    <t>Dayton</t>
  </si>
  <si>
    <t>Columbia</t>
  </si>
  <si>
    <t>Deer Park</t>
  </si>
  <si>
    <t>Des Moines</t>
  </si>
  <si>
    <t>DuPont</t>
  </si>
  <si>
    <t>Duvall</t>
  </si>
  <si>
    <t>East Wenatchee</t>
  </si>
  <si>
    <t>Edgewood</t>
  </si>
  <si>
    <t>Edmonds</t>
  </si>
  <si>
    <t>Electric City</t>
  </si>
  <si>
    <t>Grant</t>
  </si>
  <si>
    <t>Ellensburg</t>
  </si>
  <si>
    <t>Elma</t>
  </si>
  <si>
    <t>Entiat</t>
  </si>
  <si>
    <t>Enumclaw</t>
  </si>
  <si>
    <t>Ephrata</t>
  </si>
  <si>
    <t>Everett</t>
  </si>
  <si>
    <t>Everson</t>
  </si>
  <si>
    <t>Federal Way</t>
  </si>
  <si>
    <t>Ferndale</t>
  </si>
  <si>
    <t>Fife</t>
  </si>
  <si>
    <t>Fircrest</t>
  </si>
  <si>
    <t>Forks</t>
  </si>
  <si>
    <t>Clallam</t>
  </si>
  <si>
    <t>George</t>
  </si>
  <si>
    <t>Gig Harbor</t>
  </si>
  <si>
    <t>Gold Bar</t>
  </si>
  <si>
    <t>Goldendale</t>
  </si>
  <si>
    <t>Grand Coulee</t>
  </si>
  <si>
    <t>Grandview</t>
  </si>
  <si>
    <t>Yakima</t>
  </si>
  <si>
    <t>Granger</t>
  </si>
  <si>
    <t>Granite Falls</t>
  </si>
  <si>
    <t>Harrington</t>
  </si>
  <si>
    <t>Hoquiam</t>
  </si>
  <si>
    <t>Ilwaco</t>
  </si>
  <si>
    <t>Pacific</t>
  </si>
  <si>
    <t>Issaquah</t>
  </si>
  <si>
    <t>Kahlotus</t>
  </si>
  <si>
    <t>Kalama</t>
  </si>
  <si>
    <t>Kelso</t>
  </si>
  <si>
    <t>Kenmore</t>
  </si>
  <si>
    <t>Kennewick</t>
  </si>
  <si>
    <t>Kent</t>
  </si>
  <si>
    <t>Kettle Falls</t>
  </si>
  <si>
    <t>Kirkland</t>
  </si>
  <si>
    <t>La Center</t>
  </si>
  <si>
    <t>Lacey</t>
  </si>
  <si>
    <t>Thurston</t>
  </si>
  <si>
    <t>Lake Forest Park</t>
  </si>
  <si>
    <t>Lake Stevens</t>
  </si>
  <si>
    <t>Lakewood</t>
  </si>
  <si>
    <t>Langley</t>
  </si>
  <si>
    <t>Island</t>
  </si>
  <si>
    <t>Leavenworth</t>
  </si>
  <si>
    <t>Liberty Lake</t>
  </si>
  <si>
    <t>Long Beach</t>
  </si>
  <si>
    <t>Longview</t>
  </si>
  <si>
    <t>Lynden</t>
  </si>
  <si>
    <t>Lynnwood</t>
  </si>
  <si>
    <t>Mabton</t>
  </si>
  <si>
    <t>Maple Valley</t>
  </si>
  <si>
    <t>Marysville</t>
  </si>
  <si>
    <t>Mattawa</t>
  </si>
  <si>
    <t>McCleary</t>
  </si>
  <si>
    <t>Medical Lake</t>
  </si>
  <si>
    <t>Medina</t>
  </si>
  <si>
    <t>Mercer Island</t>
  </si>
  <si>
    <t>Mesa</t>
  </si>
  <si>
    <t>Mill Creek</t>
  </si>
  <si>
    <t>Millwood</t>
  </si>
  <si>
    <t>Milton</t>
  </si>
  <si>
    <t>Monroe</t>
  </si>
  <si>
    <t>Montesano</t>
  </si>
  <si>
    <t>Morton</t>
  </si>
  <si>
    <t>Moses Lake</t>
  </si>
  <si>
    <t>Mossyrock</t>
  </si>
  <si>
    <t>Mount Vernon</t>
  </si>
  <si>
    <t>Mountlake Terrace</t>
  </si>
  <si>
    <t>Moxee</t>
  </si>
  <si>
    <t>Mukilteo</t>
  </si>
  <si>
    <t>Napavine</t>
  </si>
  <si>
    <t>Newcastle</t>
  </si>
  <si>
    <t>Newport</t>
  </si>
  <si>
    <t>Pend Oreille</t>
  </si>
  <si>
    <t>Nooksack</t>
  </si>
  <si>
    <t>Normandy Park</t>
  </si>
  <si>
    <t>North Bend</t>
  </si>
  <si>
    <t>North Bonneville</t>
  </si>
  <si>
    <t>Skamania</t>
  </si>
  <si>
    <t>Oak Harbor</t>
  </si>
  <si>
    <t>Oakville</t>
  </si>
  <si>
    <t>Ocean Shores</t>
  </si>
  <si>
    <t>Olympia</t>
  </si>
  <si>
    <t>Omak</t>
  </si>
  <si>
    <t>Oroville</t>
  </si>
  <si>
    <t>Orting</t>
  </si>
  <si>
    <t>Othello</t>
  </si>
  <si>
    <t>Adams</t>
  </si>
  <si>
    <t>Palouse</t>
  </si>
  <si>
    <t>Pasco</t>
  </si>
  <si>
    <t>Pateros</t>
  </si>
  <si>
    <t>Pomeroy</t>
  </si>
  <si>
    <t>Garfield</t>
  </si>
  <si>
    <t>Port Angeles</t>
  </si>
  <si>
    <t>Port Orchard</t>
  </si>
  <si>
    <t>Port Townsend</t>
  </si>
  <si>
    <t>Jefferson</t>
  </si>
  <si>
    <t>Poulsbo</t>
  </si>
  <si>
    <t>Prescott</t>
  </si>
  <si>
    <t>Prosser</t>
  </si>
  <si>
    <t>Pullman</t>
  </si>
  <si>
    <t>Puyallup</t>
  </si>
  <si>
    <t>Quincy</t>
  </si>
  <si>
    <t>Rainier</t>
  </si>
  <si>
    <t>Raymond</t>
  </si>
  <si>
    <t>Redmond</t>
  </si>
  <si>
    <t>Renton</t>
  </si>
  <si>
    <t>Republic</t>
  </si>
  <si>
    <t>Ferry</t>
  </si>
  <si>
    <t>Richland</t>
  </si>
  <si>
    <t>Ridgefield</t>
  </si>
  <si>
    <t>Ritzville</t>
  </si>
  <si>
    <t>Rock Island</t>
  </si>
  <si>
    <t>Roslyn</t>
  </si>
  <si>
    <t>Roy</t>
  </si>
  <si>
    <t>Royal City</t>
  </si>
  <si>
    <t>Ruston</t>
  </si>
  <si>
    <t>Sammamish</t>
  </si>
  <si>
    <t>SeaTac</t>
  </si>
  <si>
    <t>Seattle</t>
  </si>
  <si>
    <t>Sedro-Woolley</t>
  </si>
  <si>
    <t>Selah</t>
  </si>
  <si>
    <t>Sequim</t>
  </si>
  <si>
    <t>Shelton</t>
  </si>
  <si>
    <t>Mason</t>
  </si>
  <si>
    <t>Shoreline</t>
  </si>
  <si>
    <t>Snoqualmie</t>
  </si>
  <si>
    <t>Soap Lake</t>
  </si>
  <si>
    <t>South Bend</t>
  </si>
  <si>
    <t>Spangle</t>
  </si>
  <si>
    <t>Spokane Valley</t>
  </si>
  <si>
    <t>Sprague</t>
  </si>
  <si>
    <t>Stanwood</t>
  </si>
  <si>
    <t>Stevenson</t>
  </si>
  <si>
    <t>Sultan</t>
  </si>
  <si>
    <t>Sumas</t>
  </si>
  <si>
    <t>Sumner</t>
  </si>
  <si>
    <t>Sunnyside</t>
  </si>
  <si>
    <t>Tacoma</t>
  </si>
  <si>
    <t>Tekoa</t>
  </si>
  <si>
    <t>Tenino</t>
  </si>
  <si>
    <t>Tieton</t>
  </si>
  <si>
    <t>Toledo</t>
  </si>
  <si>
    <t>Tonasket</t>
  </si>
  <si>
    <t>Toppenish</t>
  </si>
  <si>
    <t>Tukwila</t>
  </si>
  <si>
    <t>Tumwater</t>
  </si>
  <si>
    <t>Union Gap</t>
  </si>
  <si>
    <t>University Place</t>
  </si>
  <si>
    <t>Vader</t>
  </si>
  <si>
    <t>Vancouver</t>
  </si>
  <si>
    <t>Waitsburg</t>
  </si>
  <si>
    <t>Unclassified</t>
  </si>
  <si>
    <t>Wapato</t>
  </si>
  <si>
    <t>Warden</t>
  </si>
  <si>
    <t>Washougal</t>
  </si>
  <si>
    <t>Wenatchee</t>
  </si>
  <si>
    <t>West Richland</t>
  </si>
  <si>
    <t>Westport</t>
  </si>
  <si>
    <t>White Salmon</t>
  </si>
  <si>
    <t>Winlock</t>
  </si>
  <si>
    <t>Woodinville</t>
  </si>
  <si>
    <t>Woodland</t>
  </si>
  <si>
    <t>Woodway</t>
  </si>
  <si>
    <t>Yelm</t>
  </si>
  <si>
    <t>Zillah</t>
  </si>
  <si>
    <t>ACME</t>
  </si>
  <si>
    <t>ADDY</t>
  </si>
  <si>
    <t>AIRWAY HEIGHTS</t>
  </si>
  <si>
    <t>ALEXANDRIA</t>
  </si>
  <si>
    <t>ALGONA</t>
  </si>
  <si>
    <t>ALLYN</t>
  </si>
  <si>
    <t>ALPHARETTA</t>
  </si>
  <si>
    <t>AMANDA PARK</t>
  </si>
  <si>
    <t>AMBOY</t>
  </si>
  <si>
    <t>ANACORTES</t>
  </si>
  <si>
    <t>ANATONE</t>
  </si>
  <si>
    <t>ANDERSON ISLAND</t>
  </si>
  <si>
    <t>ANNANDALE</t>
  </si>
  <si>
    <t>ANNAPOLIS</t>
  </si>
  <si>
    <t>ARIEL</t>
  </si>
  <si>
    <t>ARLINGTON</t>
  </si>
  <si>
    <t>ASHFORD</t>
  </si>
  <si>
    <t>ASOTIN</t>
  </si>
  <si>
    <t>AUBREY</t>
  </si>
  <si>
    <t>AUBURN</t>
  </si>
  <si>
    <t>BAINBRIDGE IS</t>
  </si>
  <si>
    <t>BAINBRIDGE ISLAND</t>
  </si>
  <si>
    <t>BARING</t>
  </si>
  <si>
    <t>BATTLE GROUND</t>
  </si>
  <si>
    <t>BAY CENTER</t>
  </si>
  <si>
    <t>BEAUX ARTS</t>
  </si>
  <si>
    <t>BEAVER</t>
  </si>
  <si>
    <t>BELFAIR</t>
  </si>
  <si>
    <t>BELLEVUE</t>
  </si>
  <si>
    <t>BELLINGHAM</t>
  </si>
  <si>
    <t>BENTON CITY</t>
  </si>
  <si>
    <t>BLACK DIAMOND</t>
  </si>
  <si>
    <t>BLAINE</t>
  </si>
  <si>
    <t>BONNEY LAKE</t>
  </si>
  <si>
    <t>BOTHELL</t>
  </si>
  <si>
    <t>BOW</t>
  </si>
  <si>
    <t>BREMERTON</t>
  </si>
  <si>
    <t>BREWSTER</t>
  </si>
  <si>
    <t>BRIER</t>
  </si>
  <si>
    <t>BRINNON</t>
  </si>
  <si>
    <t>BRUSH PRAIRIE</t>
  </si>
  <si>
    <t>BUCKLEY</t>
  </si>
  <si>
    <t>BUCODA</t>
  </si>
  <si>
    <t>BURBANK</t>
  </si>
  <si>
    <t>BURIEN</t>
  </si>
  <si>
    <t>BURLINGTON</t>
  </si>
  <si>
    <t>CAMANO ISLAND</t>
  </si>
  <si>
    <t>CAMAS</t>
  </si>
  <si>
    <t>CARBONADO</t>
  </si>
  <si>
    <t>CARLTON</t>
  </si>
  <si>
    <t>CARNATION</t>
  </si>
  <si>
    <t>CARSON</t>
  </si>
  <si>
    <t>CASHMERE</t>
  </si>
  <si>
    <t>CASTLE ROCK</t>
  </si>
  <si>
    <t>CATHLAMET</t>
  </si>
  <si>
    <t>CENTERVILLE</t>
  </si>
  <si>
    <t>CENTRALIA</t>
  </si>
  <si>
    <t>CHATTAROY</t>
  </si>
  <si>
    <t>CHEHALIS</t>
  </si>
  <si>
    <t>CHELAN</t>
  </si>
  <si>
    <t>CHENEY</t>
  </si>
  <si>
    <t>CHESAPEAKE</t>
  </si>
  <si>
    <t>CHEWELAH</t>
  </si>
  <si>
    <t>CHIMACUM</t>
  </si>
  <si>
    <t>CHINOOK</t>
  </si>
  <si>
    <t>CINEBAR</t>
  </si>
  <si>
    <t>City</t>
  </si>
  <si>
    <t>CLARKSTON</t>
  </si>
  <si>
    <t>CLE ELUM</t>
  </si>
  <si>
    <t>CLEARLAKE</t>
  </si>
  <si>
    <t>CLINTON</t>
  </si>
  <si>
    <t>CLYDE HILL</t>
  </si>
  <si>
    <t>COLBERT</t>
  </si>
  <si>
    <t>COLFAX</t>
  </si>
  <si>
    <t>COLLEGE PLACE</t>
  </si>
  <si>
    <t>COLORADO SPRINGS</t>
  </si>
  <si>
    <t>COLTON</t>
  </si>
  <si>
    <t>COLVILLE</t>
  </si>
  <si>
    <t>CONCONULLY</t>
  </si>
  <si>
    <t>CONCRETE</t>
  </si>
  <si>
    <t>CONNELL</t>
  </si>
  <si>
    <t>CONWAY</t>
  </si>
  <si>
    <t>COPALIS CROSSING</t>
  </si>
  <si>
    <t>CORPUS CHRISTI</t>
  </si>
  <si>
    <t>COSMOPOLIS</t>
  </si>
  <si>
    <t>COUGAR</t>
  </si>
  <si>
    <t>COULEE CITY</t>
  </si>
  <si>
    <t>COULEE DAM</t>
  </si>
  <si>
    <t>COUPEVILLE</t>
  </si>
  <si>
    <t>COVINGTON</t>
  </si>
  <si>
    <t>CURLEW</t>
  </si>
  <si>
    <t>CURTIS</t>
  </si>
  <si>
    <t>CUSTER</t>
  </si>
  <si>
    <t>DALLESPORT</t>
  </si>
  <si>
    <t>DANVILLE</t>
  </si>
  <si>
    <t>DARRINGTON</t>
  </si>
  <si>
    <t>DAVENPORT</t>
  </si>
  <si>
    <t>DAYTON</t>
  </si>
  <si>
    <t>DECATUR</t>
  </si>
  <si>
    <t>DEER HARBOR</t>
  </si>
  <si>
    <t>DEER MEADOWS</t>
  </si>
  <si>
    <t>DEER PARK</t>
  </si>
  <si>
    <t>DEMING</t>
  </si>
  <si>
    <t>DES MOINES</t>
  </si>
  <si>
    <t>DOBBINS AFB</t>
  </si>
  <si>
    <t>DOTY</t>
  </si>
  <si>
    <t>DUPONT</t>
  </si>
  <si>
    <t>DUVALL</t>
  </si>
  <si>
    <t>EAST WENATCHEE</t>
  </si>
  <si>
    <t>EASTON</t>
  </si>
  <si>
    <t>EASTSOUND</t>
  </si>
  <si>
    <t>EATONVILLE</t>
  </si>
  <si>
    <t>EDGEWATER</t>
  </si>
  <si>
    <t>EDGEWOOD</t>
  </si>
  <si>
    <t>EDMONDS</t>
  </si>
  <si>
    <t>EDWALL</t>
  </si>
  <si>
    <t>ELECTRIC CITY</t>
  </si>
  <si>
    <t>ELK</t>
  </si>
  <si>
    <t>ELLENSBURG</t>
  </si>
  <si>
    <t>ELMA</t>
  </si>
  <si>
    <t>ELTOPIA</t>
  </si>
  <si>
    <t>ENDICOTT</t>
  </si>
  <si>
    <t>ENTIAT</t>
  </si>
  <si>
    <t>ENUMCLAW</t>
  </si>
  <si>
    <t>EPHRATA</t>
  </si>
  <si>
    <t>ETHEL</t>
  </si>
  <si>
    <t>EVANS</t>
  </si>
  <si>
    <t>EVERETT</t>
  </si>
  <si>
    <t>EVERSON</t>
  </si>
  <si>
    <t>FAIRCHILD AIR FORCE BASE</t>
  </si>
  <si>
    <t>FAIRFAX</t>
  </si>
  <si>
    <t>FAIRFIELD</t>
  </si>
  <si>
    <t>FALL CITY</t>
  </si>
  <si>
    <t>FARMINGTON</t>
  </si>
  <si>
    <t>FAYETTEVILLE</t>
  </si>
  <si>
    <t>FEDERAL WAY</t>
  </si>
  <si>
    <t>FERNDALE</t>
  </si>
  <si>
    <t>FIFE</t>
  </si>
  <si>
    <t>FIRCREST</t>
  </si>
  <si>
    <t>FORD</t>
  </si>
  <si>
    <t>FOREST PARK</t>
  </si>
  <si>
    <t>FORKS</t>
  </si>
  <si>
    <t>FORT LEWIS</t>
  </si>
  <si>
    <t>FOX ISLAND</t>
  </si>
  <si>
    <t>FREELAND</t>
  </si>
  <si>
    <t>FRIDAY HARBOR</t>
  </si>
  <si>
    <t>FRUITLAND</t>
  </si>
  <si>
    <t>GARFIELD</t>
  </si>
  <si>
    <t>GIFFORD</t>
  </si>
  <si>
    <t>GIG HARBOR</t>
  </si>
  <si>
    <t>GLENWOOD</t>
  </si>
  <si>
    <t>GOLD BAR</t>
  </si>
  <si>
    <t>GOLDENDALE</t>
  </si>
  <si>
    <t>GRAHAM</t>
  </si>
  <si>
    <t>GRAND COULEE</t>
  </si>
  <si>
    <t>GRANDVIEW</t>
  </si>
  <si>
    <t>GRANGER</t>
  </si>
  <si>
    <t>GRANITE FALLS</t>
  </si>
  <si>
    <t>GRAPEVIEW</t>
  </si>
  <si>
    <t>GRAYLAND</t>
  </si>
  <si>
    <t>GREENACRES</t>
  </si>
  <si>
    <t>GREENBANK</t>
  </si>
  <si>
    <t>HADDONFIELD</t>
  </si>
  <si>
    <t>HANSVILLE</t>
  </si>
  <si>
    <t>HARRINGTON</t>
  </si>
  <si>
    <t>HOBART</t>
  </si>
  <si>
    <t>HOODSPORT</t>
  </si>
  <si>
    <t>HOQUIAM</t>
  </si>
  <si>
    <t>HUMPTULIPS</t>
  </si>
  <si>
    <t>HUNTS POINT</t>
  </si>
  <si>
    <t>ILWACO</t>
  </si>
  <si>
    <t>INDIANOLA</t>
  </si>
  <si>
    <t>ISSAQUAH</t>
  </si>
  <si>
    <t>JBLM</t>
  </si>
  <si>
    <t>JOINT BASE LEWIS MCCHORD</t>
  </si>
  <si>
    <t>JUNEAU</t>
  </si>
  <si>
    <t>KALAMA</t>
  </si>
  <si>
    <t>KELSO</t>
  </si>
  <si>
    <t>KENMORE</t>
  </si>
  <si>
    <t>KENNEWICK</t>
  </si>
  <si>
    <t>KENT</t>
  </si>
  <si>
    <t>KETRON ISLAND</t>
  </si>
  <si>
    <t>KETTLE FALLS</t>
  </si>
  <si>
    <t>KEYPORT</t>
  </si>
  <si>
    <t>KINGSTON</t>
  </si>
  <si>
    <t>KIRKLAND</t>
  </si>
  <si>
    <t>KITTITAS</t>
  </si>
  <si>
    <t>KLICKITAT</t>
  </si>
  <si>
    <t>LA CENTER</t>
  </si>
  <si>
    <t>LA CONNER</t>
  </si>
  <si>
    <t>LACEY</t>
  </si>
  <si>
    <t>LAKE FOREST PARK</t>
  </si>
  <si>
    <t>LAKE STEVENS</t>
  </si>
  <si>
    <t>LAKE TAPPS</t>
  </si>
  <si>
    <t>LAKEBAY</t>
  </si>
  <si>
    <t>LAKESIDE</t>
  </si>
  <si>
    <t>LAKEWOOD</t>
  </si>
  <si>
    <t>LAMONT</t>
  </si>
  <si>
    <t>LANGLEY</t>
  </si>
  <si>
    <t>LANSING</t>
  </si>
  <si>
    <t>LEAVENWORTH</t>
  </si>
  <si>
    <t>LIBERTY LAKE</t>
  </si>
  <si>
    <t>LILLIWAUP</t>
  </si>
  <si>
    <t>LONG BEACH</t>
  </si>
  <si>
    <t>LONGBRANCH</t>
  </si>
  <si>
    <t>LONGVIEW</t>
  </si>
  <si>
    <t>LOON LAKE</t>
  </si>
  <si>
    <t>LOPEZ ISLAND</t>
  </si>
  <si>
    <t>LORTON</t>
  </si>
  <si>
    <t>LULA</t>
  </si>
  <si>
    <t>LUMMI ISLAND</t>
  </si>
  <si>
    <t>LYLE</t>
  </si>
  <si>
    <t>LYNDEN</t>
  </si>
  <si>
    <t>LYNNWOOD</t>
  </si>
  <si>
    <t>MABTON</t>
  </si>
  <si>
    <t>MALAGA</t>
  </si>
  <si>
    <t>MANSFIELD</t>
  </si>
  <si>
    <t>MANSON</t>
  </si>
  <si>
    <t>MAPLE FALLS</t>
  </si>
  <si>
    <t>MAPLE VALLEY</t>
  </si>
  <si>
    <t>MARBLEMOUNT</t>
  </si>
  <si>
    <t>MARYSVILLE</t>
  </si>
  <si>
    <t>MATTAWA</t>
  </si>
  <si>
    <t>MAZAMA</t>
  </si>
  <si>
    <t>MCCHORD AFB</t>
  </si>
  <si>
    <t>MCCLEARY</t>
  </si>
  <si>
    <t>MEAD</t>
  </si>
  <si>
    <t>MEDICAL LAKE</t>
  </si>
  <si>
    <t>MEDINA</t>
  </si>
  <si>
    <t>MERCER ISLAND</t>
  </si>
  <si>
    <t>MESA</t>
  </si>
  <si>
    <t>METHOW</t>
  </si>
  <si>
    <t>MICA</t>
  </si>
  <si>
    <t>MILL CREEK</t>
  </si>
  <si>
    <t>MILLWOOD</t>
  </si>
  <si>
    <t>MILTON</t>
  </si>
  <si>
    <t>MINERAL</t>
  </si>
  <si>
    <t>MOCLIPS</t>
  </si>
  <si>
    <t>MONROE</t>
  </si>
  <si>
    <t>MONTESANO</t>
  </si>
  <si>
    <t>MORTON</t>
  </si>
  <si>
    <t>MOSES LAKE</t>
  </si>
  <si>
    <t>MOSSYROCK</t>
  </si>
  <si>
    <t>MOUNT VERNON</t>
  </si>
  <si>
    <t>MOUNTLAKE TERRACE</t>
  </si>
  <si>
    <t>MOXEE</t>
  </si>
  <si>
    <t>MUKILTEO</t>
  </si>
  <si>
    <t>NACHES</t>
  </si>
  <si>
    <t>NAHCOTTA</t>
  </si>
  <si>
    <t>NAPAVINE</t>
  </si>
  <si>
    <t>NASELLE</t>
  </si>
  <si>
    <t>NEW ATHENS</t>
  </si>
  <si>
    <t>NEWCASTLE</t>
  </si>
  <si>
    <t>NEWMAN LAKE</t>
  </si>
  <si>
    <t>NEWPORT</t>
  </si>
  <si>
    <t>NINE MILE FALLS</t>
  </si>
  <si>
    <t>NOOKSACK</t>
  </si>
  <si>
    <t>NORDLAND</t>
  </si>
  <si>
    <t>NORMANDY PARK</t>
  </si>
  <si>
    <t>NORTH BEND</t>
  </si>
  <si>
    <t>NORTH BONNEVILLE</t>
  </si>
  <si>
    <t>OAK HARBOR</t>
  </si>
  <si>
    <t>OAK RIDGE</t>
  </si>
  <si>
    <t>OAKVILLE</t>
  </si>
  <si>
    <t>OCEAN CITY</t>
  </si>
  <si>
    <t>OCEAN PARK</t>
  </si>
  <si>
    <t>OCEAN SHORES</t>
  </si>
  <si>
    <t>OKANOGAN</t>
  </si>
  <si>
    <t>OLALLA</t>
  </si>
  <si>
    <t>OLGA</t>
  </si>
  <si>
    <t>OLYMPIA</t>
  </si>
  <si>
    <t>OMAK</t>
  </si>
  <si>
    <t>ONALASKA</t>
  </si>
  <si>
    <t>ORCAS</t>
  </si>
  <si>
    <t>ORONDO</t>
  </si>
  <si>
    <t>OROVILLE</t>
  </si>
  <si>
    <t>ORTING</t>
  </si>
  <si>
    <t>OTHELLO</t>
  </si>
  <si>
    <t>OTIS ORCHARDS</t>
  </si>
  <si>
    <t>OUTLOOK</t>
  </si>
  <si>
    <t>PACIFIC</t>
  </si>
  <si>
    <t>PACIFIC BEACH</t>
  </si>
  <si>
    <t>PACKWOOD</t>
  </si>
  <si>
    <t>PALOUSE</t>
  </si>
  <si>
    <t>PARKLAND</t>
  </si>
  <si>
    <t>PASCO</t>
  </si>
  <si>
    <t>PATEROS</t>
  </si>
  <si>
    <t>PAWCATUCK</t>
  </si>
  <si>
    <t>PE ELL</t>
  </si>
  <si>
    <t>PESHASTIN</t>
  </si>
  <si>
    <t>PIKE ROAD</t>
  </si>
  <si>
    <t>POINT ROBERTS</t>
  </si>
  <si>
    <t>POMEROY</t>
  </si>
  <si>
    <t>PORT ANGELES</t>
  </si>
  <si>
    <t>PORT HADLOCK</t>
  </si>
  <si>
    <t>PORT HUENEME</t>
  </si>
  <si>
    <t>PORT LUDLOW</t>
  </si>
  <si>
    <t>PORT ORCHARD</t>
  </si>
  <si>
    <t>PORT TOWNSEND</t>
  </si>
  <si>
    <t>PORTLAND</t>
  </si>
  <si>
    <t>POULSBO</t>
  </si>
  <si>
    <t>PRESTON</t>
  </si>
  <si>
    <t>PROSSER</t>
  </si>
  <si>
    <t>PULLMAN</t>
  </si>
  <si>
    <t>PUYALLUP</t>
  </si>
  <si>
    <t>QUILCENE</t>
  </si>
  <si>
    <t>QUINCY</t>
  </si>
  <si>
    <t>RAINIER</t>
  </si>
  <si>
    <t>RANDLE</t>
  </si>
  <si>
    <t>RAVENSDALE</t>
  </si>
  <si>
    <t>RAYMOND</t>
  </si>
  <si>
    <t>REARDAN</t>
  </si>
  <si>
    <t>REDMOND</t>
  </si>
  <si>
    <t>RENTON</t>
  </si>
  <si>
    <t>REPUBLIC</t>
  </si>
  <si>
    <t>RICE</t>
  </si>
  <si>
    <t>RICHLAND</t>
  </si>
  <si>
    <t>RIDGEFIELD</t>
  </si>
  <si>
    <t>RITZVILLE</t>
  </si>
  <si>
    <t>RIVERSIDE</t>
  </si>
  <si>
    <t>ROCHE HARBOR</t>
  </si>
  <si>
    <t>ROCHESTER</t>
  </si>
  <si>
    <t>ROCK ISLAND</t>
  </si>
  <si>
    <t>ROCKFORD</t>
  </si>
  <si>
    <t>ROCKPORT</t>
  </si>
  <si>
    <t>RONALD</t>
  </si>
  <si>
    <t>ROSALIA</t>
  </si>
  <si>
    <t>ROSEVILLE</t>
  </si>
  <si>
    <t>ROSLYN</t>
  </si>
  <si>
    <t>ROY</t>
  </si>
  <si>
    <t>ROYAL CITY</t>
  </si>
  <si>
    <t>RUSTON</t>
  </si>
  <si>
    <t>SACRAMENTO</t>
  </si>
  <si>
    <t>SAINT JOHN</t>
  </si>
  <si>
    <t>SAMMAMISH</t>
  </si>
  <si>
    <t>SAN ANTONIO</t>
  </si>
  <si>
    <t>SAN DIEGO</t>
  </si>
  <si>
    <t>SANTA ROSA</t>
  </si>
  <si>
    <t>SEABECK</t>
  </si>
  <si>
    <t>SEATAC</t>
  </si>
  <si>
    <t>SEATTLE</t>
  </si>
  <si>
    <t>SEAVIEW</t>
  </si>
  <si>
    <t>SEDRO WOOLLEY</t>
  </si>
  <si>
    <t>SEKIU</t>
  </si>
  <si>
    <t>SELAH</t>
  </si>
  <si>
    <t>SEQUIM</t>
  </si>
  <si>
    <t>SEVEN BAYS</t>
  </si>
  <si>
    <t>SHAW ISLAND</t>
  </si>
  <si>
    <t>SHELTON</t>
  </si>
  <si>
    <t>SHORELINE</t>
  </si>
  <si>
    <t>SILVER CREEK</t>
  </si>
  <si>
    <t>SILVER SPRING</t>
  </si>
  <si>
    <t>SILVERDALE</t>
  </si>
  <si>
    <t>SILVERLAKE</t>
  </si>
  <si>
    <t>SKAMOKAWA</t>
  </si>
  <si>
    <t>SKYKOMISH</t>
  </si>
  <si>
    <t>SNOHOMISH</t>
  </si>
  <si>
    <t>SNOQUALMIE</t>
  </si>
  <si>
    <t>SNOQUALMIE PASS</t>
  </si>
  <si>
    <t>SOAP LAKE</t>
  </si>
  <si>
    <t>SOUTH BEND</t>
  </si>
  <si>
    <t>SOUTH HILL</t>
  </si>
  <si>
    <t>SOUTH PRAIRIE</t>
  </si>
  <si>
    <t>SOUTHWORTH</t>
  </si>
  <si>
    <t>SPANAWAY</t>
  </si>
  <si>
    <t>SPANGLE</t>
  </si>
  <si>
    <t>SPOKANE</t>
  </si>
  <si>
    <t>SPOKANE VALLEY</t>
  </si>
  <si>
    <t>SPRAGUE</t>
  </si>
  <si>
    <t>SPRINGDALE</t>
  </si>
  <si>
    <t>STANWOOD</t>
  </si>
  <si>
    <t>STEILACOOM</t>
  </si>
  <si>
    <t>STEVENSON</t>
  </si>
  <si>
    <t>SULTAN</t>
  </si>
  <si>
    <t>SUMAS</t>
  </si>
  <si>
    <t>SUMNER</t>
  </si>
  <si>
    <t>SUNNYSIDE</t>
  </si>
  <si>
    <t>SUQUAMISH</t>
  </si>
  <si>
    <t>TACOMA</t>
  </si>
  <si>
    <t>TAHOLAH</t>
  </si>
  <si>
    <t>TAHUYA</t>
  </si>
  <si>
    <t>TEKOA</t>
  </si>
  <si>
    <t>TENINO</t>
  </si>
  <si>
    <t>THORP</t>
  </si>
  <si>
    <t>TIETON</t>
  </si>
  <si>
    <t>TOKELAND</t>
  </si>
  <si>
    <t>TOLEDO</t>
  </si>
  <si>
    <t>TONASKET</t>
  </si>
  <si>
    <t>TOPPENISH</t>
  </si>
  <si>
    <t>TOUCHET</t>
  </si>
  <si>
    <t>TOUTLE</t>
  </si>
  <si>
    <t>TOWNSEND</t>
  </si>
  <si>
    <t>TROUT LAKE</t>
  </si>
  <si>
    <t>TUKWILA</t>
  </si>
  <si>
    <t>TULALIP</t>
  </si>
  <si>
    <t>TUMWATER</t>
  </si>
  <si>
    <t>TUSCARORA</t>
  </si>
  <si>
    <t>TWISP</t>
  </si>
  <si>
    <t>UNDERWOOD</t>
  </si>
  <si>
    <t>UNION</t>
  </si>
  <si>
    <t>UNION GAP</t>
  </si>
  <si>
    <t>UNIVERSITY PLACE</t>
  </si>
  <si>
    <t>USK</t>
  </si>
  <si>
    <t>VADER</t>
  </si>
  <si>
    <t>VALLEY</t>
  </si>
  <si>
    <t>VALLEYFORD</t>
  </si>
  <si>
    <t>VANCOUVER</t>
  </si>
  <si>
    <t>VASHON</t>
  </si>
  <si>
    <t>VAUGHN</t>
  </si>
  <si>
    <t>VERADALE</t>
  </si>
  <si>
    <t>VIRGINIA BEACH</t>
  </si>
  <si>
    <t>WAHKIACUS</t>
  </si>
  <si>
    <t>WAITSBURG</t>
  </si>
  <si>
    <t>WALDORF</t>
  </si>
  <si>
    <t>WALDRON</t>
  </si>
  <si>
    <t>WALLA WALLA</t>
  </si>
  <si>
    <t>WAPATO</t>
  </si>
  <si>
    <t>WARDEN</t>
  </si>
  <si>
    <t>WASHOUGAL</t>
  </si>
  <si>
    <t>WATERVILLE</t>
  </si>
  <si>
    <t>WENATCHEE</t>
  </si>
  <si>
    <t>WEST RICHLAND</t>
  </si>
  <si>
    <t>WESTPORT</t>
  </si>
  <si>
    <t>WHITE SALMON</t>
  </si>
  <si>
    <t>WILKESON</t>
  </si>
  <si>
    <t>WINLOCK</t>
  </si>
  <si>
    <t>WINTHROP</t>
  </si>
  <si>
    <t>WISHRAM</t>
  </si>
  <si>
    <t>WOODINVILLE</t>
  </si>
  <si>
    <t>WOODLAND</t>
  </si>
  <si>
    <t>WOODWAY</t>
  </si>
  <si>
    <t>YACOLT</t>
  </si>
  <si>
    <t>YAKIMA</t>
  </si>
  <si>
    <t>YARROW POINT</t>
  </si>
  <si>
    <t>YELM</t>
  </si>
  <si>
    <t>ZILLAH</t>
  </si>
  <si>
    <t># Electric Vehicles</t>
  </si>
  <si>
    <t>County</t>
  </si>
  <si>
    <t>Anne Arundel</t>
  </si>
  <si>
    <t>Banks</t>
  </si>
  <si>
    <t>Bexar</t>
  </si>
  <si>
    <t>Camden</t>
  </si>
  <si>
    <t>Charles</t>
  </si>
  <si>
    <t>Chesapeake City</t>
  </si>
  <si>
    <t>Cobb</t>
  </si>
  <si>
    <t>Contra Costa</t>
  </si>
  <si>
    <t>Cumberland</t>
  </si>
  <si>
    <t>Dekalb</t>
  </si>
  <si>
    <t>Denton</t>
  </si>
  <si>
    <t>El Paso</t>
  </si>
  <si>
    <t>Elko</t>
  </si>
  <si>
    <t>Fairfax</t>
  </si>
  <si>
    <t>Fulton</t>
  </si>
  <si>
    <t>Juneau</t>
  </si>
  <si>
    <t>Maricopa</t>
  </si>
  <si>
    <t>Montgomery</t>
  </si>
  <si>
    <t>New London</t>
  </si>
  <si>
    <t>Nueces</t>
  </si>
  <si>
    <t>Passaic</t>
  </si>
  <si>
    <t>Placer</t>
  </si>
  <si>
    <t>Sacramento</t>
  </si>
  <si>
    <t>San Diego</t>
  </si>
  <si>
    <t>San Juan</t>
  </si>
  <si>
    <t>Sonoma</t>
  </si>
  <si>
    <t>Ventura</t>
  </si>
  <si>
    <t>Virginia Beach City</t>
  </si>
  <si>
    <t>Wahkiakum</t>
  </si>
  <si>
    <t>Washington</t>
  </si>
  <si>
    <t>(blank)</t>
  </si>
  <si>
    <t>Grand Total</t>
  </si>
  <si>
    <t>Type of City</t>
  </si>
  <si>
    <t>Area(mi2)</t>
  </si>
  <si>
    <t>Population (2019)</t>
  </si>
  <si>
    <t># EV's</t>
  </si>
  <si>
    <t>Total:</t>
  </si>
  <si>
    <t>EV's Per Population</t>
  </si>
  <si>
    <t>Sum of Population (2019)</t>
  </si>
  <si>
    <t>Sum of Area(mi2)</t>
  </si>
  <si>
    <t>Sum of # EV's</t>
  </si>
  <si>
    <t>Sum of Population Per Vehicle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</si>
</sst>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"/>
  </numFmts>
  <fonts count="4" x14ac:knownFonts="1">
    <font>
      <sz val="12"/>
      <color theme="1"/>
      <name val="Calibri"/>
      <family val="2"/>
      <scheme val="minor"/>
    </font>
    <font>
      <sz val="13"/>
      <color rgb="FF202122"/>
      <name val="Arial"/>
      <family val="2"/>
    </font>
    <font>
      <sz val="12"/>
      <color theme="0"/>
      <name val="Calibri"/>
      <family val="2"/>
      <scheme val="minor"/>
    </font>
    <font>
      <b/>
      <sz val="13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A2A9B1"/>
      </left>
      <right style="medium">
        <color rgb="FFA2A9B1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3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1" fillId="2" borderId="2" xfId="0" applyFont="1" applyFill="1" applyBorder="1" applyAlignment="1">
      <alignment vertical="center" wrapText="1"/>
    </xf>
    <xf numFmtId="3" fontId="1" fillId="2" borderId="2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right" vertical="center" wrapText="1"/>
    </xf>
    <xf numFmtId="0" fontId="0" fillId="4" borderId="0" xfId="0" applyFill="1"/>
    <xf numFmtId="170" fontId="0" fillId="0" borderId="0" xfId="0" applyNumberFormat="1" applyAlignment="1">
      <alignment horizontal="center"/>
    </xf>
    <xf numFmtId="0" fontId="0" fillId="0" borderId="0" xfId="0" applyNumberFormat="1"/>
    <xf numFmtId="1" fontId="0" fillId="0" borderId="0" xfId="0" applyNumberFormat="1"/>
    <xf numFmtId="0" fontId="0" fillId="0" borderId="0" xfId="0" pivotButton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5">
    <dxf>
      <alignment horizontal="center"/>
    </dxf>
    <dxf>
      <alignment horizontal="center"/>
    </dxf>
    <dxf>
      <alignment wrapText="1"/>
    </dxf>
    <dxf>
      <alignment wrapText="1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EV's Per City Population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City_Table!$D$5:$D$216</c:f>
              <c:numCache>
                <c:formatCode>#,##0</c:formatCode>
                <c:ptCount val="212"/>
                <c:pt idx="0">
                  <c:v>16756</c:v>
                </c:pt>
                <c:pt idx="1">
                  <c:v>9485</c:v>
                </c:pt>
                <c:pt idx="2">
                  <c:v>3208</c:v>
                </c:pt>
                <c:pt idx="3">
                  <c:v>17527</c:v>
                </c:pt>
                <c:pt idx="4">
                  <c:v>20523</c:v>
                </c:pt>
                <c:pt idx="5">
                  <c:v>1289</c:v>
                </c:pt>
                <c:pt idx="6">
                  <c:v>81464</c:v>
                </c:pt>
                <c:pt idx="7">
                  <c:v>25298</c:v>
                </c:pt>
                <c:pt idx="8">
                  <c:v>21252</c:v>
                </c:pt>
                <c:pt idx="9">
                  <c:v>148164</c:v>
                </c:pt>
                <c:pt idx="10">
                  <c:v>92314</c:v>
                </c:pt>
                <c:pt idx="11">
                  <c:v>3495</c:v>
                </c:pt>
                <c:pt idx="12">
                  <c:v>742</c:v>
                </c:pt>
                <c:pt idx="13">
                  <c:v>4781</c:v>
                </c:pt>
                <c:pt idx="14">
                  <c:v>5607</c:v>
                </c:pt>
                <c:pt idx="15">
                  <c:v>21148</c:v>
                </c:pt>
                <c:pt idx="16">
                  <c:v>47415</c:v>
                </c:pt>
                <c:pt idx="17">
                  <c:v>41405</c:v>
                </c:pt>
                <c:pt idx="18">
                  <c:v>2357</c:v>
                </c:pt>
                <c:pt idx="19">
                  <c:v>2613</c:v>
                </c:pt>
                <c:pt idx="20">
                  <c:v>6970</c:v>
                </c:pt>
                <c:pt idx="21">
                  <c:v>5058</c:v>
                </c:pt>
                <c:pt idx="22">
                  <c:v>51500</c:v>
                </c:pt>
                <c:pt idx="23">
                  <c:v>9224</c:v>
                </c:pt>
                <c:pt idx="24">
                  <c:v>24418</c:v>
                </c:pt>
                <c:pt idx="25">
                  <c:v>2282</c:v>
                </c:pt>
                <c:pt idx="26">
                  <c:v>3172</c:v>
                </c:pt>
                <c:pt idx="27">
                  <c:v>2298</c:v>
                </c:pt>
                <c:pt idx="28">
                  <c:v>17745</c:v>
                </c:pt>
                <c:pt idx="29">
                  <c:v>7654</c:v>
                </c:pt>
                <c:pt idx="30">
                  <c:v>4237</c:v>
                </c:pt>
                <c:pt idx="31">
                  <c:v>12522</c:v>
                </c:pt>
                <c:pt idx="32">
                  <c:v>2676</c:v>
                </c:pt>
                <c:pt idx="33">
                  <c:v>7375</c:v>
                </c:pt>
                <c:pt idx="34">
                  <c:v>2037</c:v>
                </c:pt>
                <c:pt idx="35">
                  <c:v>3386</c:v>
                </c:pt>
                <c:pt idx="36">
                  <c:v>2872</c:v>
                </c:pt>
                <c:pt idx="37">
                  <c:v>9317</c:v>
                </c:pt>
                <c:pt idx="38">
                  <c:v>4832</c:v>
                </c:pt>
                <c:pt idx="39">
                  <c:v>5545</c:v>
                </c:pt>
                <c:pt idx="40">
                  <c:v>1662</c:v>
                </c:pt>
                <c:pt idx="41">
                  <c:v>21175</c:v>
                </c:pt>
                <c:pt idx="42">
                  <c:v>1744</c:v>
                </c:pt>
                <c:pt idx="43">
                  <c:v>2442</c:v>
                </c:pt>
                <c:pt idx="44">
                  <c:v>4364</c:v>
                </c:pt>
                <c:pt idx="45">
                  <c:v>32348</c:v>
                </c:pt>
                <c:pt idx="46">
                  <c:v>9516</c:v>
                </c:pt>
                <c:pt idx="47">
                  <c:v>8107</c:v>
                </c:pt>
                <c:pt idx="48">
                  <c:v>14219</c:v>
                </c:pt>
                <c:pt idx="49">
                  <c:v>13053</c:v>
                </c:pt>
                <c:pt idx="50">
                  <c:v>42605</c:v>
                </c:pt>
                <c:pt idx="51">
                  <c:v>1002</c:v>
                </c:pt>
                <c:pt idx="52">
                  <c:v>21111</c:v>
                </c:pt>
                <c:pt idx="53">
                  <c:v>3351</c:v>
                </c:pt>
                <c:pt idx="54">
                  <c:v>1280</c:v>
                </c:pt>
                <c:pt idx="55">
                  <c:v>12190</c:v>
                </c:pt>
                <c:pt idx="56">
                  <c:v>8136</c:v>
                </c:pt>
                <c:pt idx="57">
                  <c:v>111475</c:v>
                </c:pt>
                <c:pt idx="58">
                  <c:v>2841</c:v>
                </c:pt>
                <c:pt idx="59">
                  <c:v>96289</c:v>
                </c:pt>
                <c:pt idx="60">
                  <c:v>14897</c:v>
                </c:pt>
                <c:pt idx="61">
                  <c:v>10184</c:v>
                </c:pt>
                <c:pt idx="62">
                  <c:v>6835</c:v>
                </c:pt>
                <c:pt idx="63">
                  <c:v>3880</c:v>
                </c:pt>
                <c:pt idx="64">
                  <c:v>516</c:v>
                </c:pt>
                <c:pt idx="65">
                  <c:v>10717</c:v>
                </c:pt>
                <c:pt idx="66">
                  <c:v>2352</c:v>
                </c:pt>
                <c:pt idx="67">
                  <c:v>3505</c:v>
                </c:pt>
                <c:pt idx="68">
                  <c:v>1048</c:v>
                </c:pt>
                <c:pt idx="69">
                  <c:v>11078</c:v>
                </c:pt>
                <c:pt idx="70">
                  <c:v>3830</c:v>
                </c:pt>
                <c:pt idx="71">
                  <c:v>4234</c:v>
                </c:pt>
                <c:pt idx="72">
                  <c:v>418</c:v>
                </c:pt>
                <c:pt idx="73">
                  <c:v>8655</c:v>
                </c:pt>
                <c:pt idx="74">
                  <c:v>991</c:v>
                </c:pt>
                <c:pt idx="75">
                  <c:v>39509</c:v>
                </c:pt>
                <c:pt idx="76">
                  <c:v>193</c:v>
                </c:pt>
                <c:pt idx="77">
                  <c:v>2798</c:v>
                </c:pt>
                <c:pt idx="78">
                  <c:v>12417</c:v>
                </c:pt>
                <c:pt idx="79">
                  <c:v>23097</c:v>
                </c:pt>
                <c:pt idx="80">
                  <c:v>84347</c:v>
                </c:pt>
                <c:pt idx="81">
                  <c:v>132319</c:v>
                </c:pt>
                <c:pt idx="82">
                  <c:v>1635</c:v>
                </c:pt>
                <c:pt idx="83">
                  <c:v>93010</c:v>
                </c:pt>
                <c:pt idx="84">
                  <c:v>1497</c:v>
                </c:pt>
                <c:pt idx="85">
                  <c:v>3404</c:v>
                </c:pt>
                <c:pt idx="86">
                  <c:v>52592</c:v>
                </c:pt>
                <c:pt idx="87">
                  <c:v>13504</c:v>
                </c:pt>
                <c:pt idx="88">
                  <c:v>33911</c:v>
                </c:pt>
                <c:pt idx="89">
                  <c:v>61037</c:v>
                </c:pt>
                <c:pt idx="90">
                  <c:v>1140</c:v>
                </c:pt>
                <c:pt idx="91">
                  <c:v>2029</c:v>
                </c:pt>
                <c:pt idx="92">
                  <c:v>10956</c:v>
                </c:pt>
                <c:pt idx="93">
                  <c:v>1496</c:v>
                </c:pt>
                <c:pt idx="94">
                  <c:v>38440</c:v>
                </c:pt>
                <c:pt idx="95">
                  <c:v>15223</c:v>
                </c:pt>
                <c:pt idx="96">
                  <c:v>39141</c:v>
                </c:pt>
                <c:pt idx="97">
                  <c:v>2268</c:v>
                </c:pt>
                <c:pt idx="98">
                  <c:v>27202</c:v>
                </c:pt>
                <c:pt idx="99">
                  <c:v>70298</c:v>
                </c:pt>
                <c:pt idx="100">
                  <c:v>4758</c:v>
                </c:pt>
                <c:pt idx="101">
                  <c:v>1764</c:v>
                </c:pt>
                <c:pt idx="102">
                  <c:v>4966</c:v>
                </c:pt>
                <c:pt idx="103">
                  <c:v>3288</c:v>
                </c:pt>
                <c:pt idx="104">
                  <c:v>25894</c:v>
                </c:pt>
                <c:pt idx="105">
                  <c:v>508</c:v>
                </c:pt>
                <c:pt idx="106">
                  <c:v>20897</c:v>
                </c:pt>
                <c:pt idx="107">
                  <c:v>1800</c:v>
                </c:pt>
                <c:pt idx="108">
                  <c:v>8299</c:v>
                </c:pt>
                <c:pt idx="109">
                  <c:v>19776</c:v>
                </c:pt>
                <c:pt idx="110">
                  <c:v>4052</c:v>
                </c:pt>
                <c:pt idx="111">
                  <c:v>1199</c:v>
                </c:pt>
                <c:pt idx="112">
                  <c:v>24086</c:v>
                </c:pt>
                <c:pt idx="113">
                  <c:v>820</c:v>
                </c:pt>
                <c:pt idx="114">
                  <c:v>36006</c:v>
                </c:pt>
                <c:pt idx="115">
                  <c:v>21338</c:v>
                </c:pt>
                <c:pt idx="116">
                  <c:v>4104</c:v>
                </c:pt>
                <c:pt idx="117">
                  <c:v>21441</c:v>
                </c:pt>
                <c:pt idx="118">
                  <c:v>2001</c:v>
                </c:pt>
                <c:pt idx="119">
                  <c:v>12292</c:v>
                </c:pt>
                <c:pt idx="120">
                  <c:v>2199</c:v>
                </c:pt>
                <c:pt idx="121">
                  <c:v>1631</c:v>
                </c:pt>
                <c:pt idx="122">
                  <c:v>6604</c:v>
                </c:pt>
                <c:pt idx="123">
                  <c:v>7423</c:v>
                </c:pt>
                <c:pt idx="124">
                  <c:v>1007</c:v>
                </c:pt>
                <c:pt idx="125">
                  <c:v>23565</c:v>
                </c:pt>
                <c:pt idx="126">
                  <c:v>692</c:v>
                </c:pt>
                <c:pt idx="127">
                  <c:v>6494</c:v>
                </c:pt>
                <c:pt idx="128">
                  <c:v>2588</c:v>
                </c:pt>
                <c:pt idx="129">
                  <c:v>52882</c:v>
                </c:pt>
                <c:pt idx="130">
                  <c:v>4778</c:v>
                </c:pt>
                <c:pt idx="131">
                  <c:v>1675</c:v>
                </c:pt>
                <c:pt idx="132">
                  <c:v>8610</c:v>
                </c:pt>
                <c:pt idx="133">
                  <c:v>8386</c:v>
                </c:pt>
                <c:pt idx="134">
                  <c:v>7178</c:v>
                </c:pt>
                <c:pt idx="135">
                  <c:v>1075</c:v>
                </c:pt>
                <c:pt idx="136">
                  <c:v>75432</c:v>
                </c:pt>
                <c:pt idx="137">
                  <c:v>714</c:v>
                </c:pt>
                <c:pt idx="138">
                  <c:v>1395</c:v>
                </c:pt>
                <c:pt idx="139">
                  <c:v>20229</c:v>
                </c:pt>
                <c:pt idx="140">
                  <c:v>14597</c:v>
                </c:pt>
                <c:pt idx="141">
                  <c:v>9831</c:v>
                </c:pt>
                <c:pt idx="142">
                  <c:v>11168</c:v>
                </c:pt>
                <c:pt idx="143">
                  <c:v>305</c:v>
                </c:pt>
                <c:pt idx="144">
                  <c:v>6380</c:v>
                </c:pt>
                <c:pt idx="145">
                  <c:v>34506</c:v>
                </c:pt>
                <c:pt idx="146">
                  <c:v>42361</c:v>
                </c:pt>
                <c:pt idx="147">
                  <c:v>8033</c:v>
                </c:pt>
                <c:pt idx="148">
                  <c:v>2287</c:v>
                </c:pt>
                <c:pt idx="149">
                  <c:v>2994</c:v>
                </c:pt>
                <c:pt idx="150">
                  <c:v>71929</c:v>
                </c:pt>
                <c:pt idx="151">
                  <c:v>101751</c:v>
                </c:pt>
                <c:pt idx="152">
                  <c:v>1066</c:v>
                </c:pt>
                <c:pt idx="153">
                  <c:v>58225</c:v>
                </c:pt>
                <c:pt idx="154">
                  <c:v>9153</c:v>
                </c:pt>
                <c:pt idx="155">
                  <c:v>1654</c:v>
                </c:pt>
                <c:pt idx="156">
                  <c:v>1124</c:v>
                </c:pt>
                <c:pt idx="157">
                  <c:v>958</c:v>
                </c:pt>
                <c:pt idx="158">
                  <c:v>822</c:v>
                </c:pt>
                <c:pt idx="159">
                  <c:v>2237</c:v>
                </c:pt>
                <c:pt idx="160">
                  <c:v>845</c:v>
                </c:pt>
                <c:pt idx="161">
                  <c:v>65892</c:v>
                </c:pt>
                <c:pt idx="162">
                  <c:v>29044</c:v>
                </c:pt>
                <c:pt idx="163">
                  <c:v>753675</c:v>
                </c:pt>
                <c:pt idx="164">
                  <c:v>12072</c:v>
                </c:pt>
                <c:pt idx="165">
                  <c:v>8087</c:v>
                </c:pt>
                <c:pt idx="166">
                  <c:v>7640</c:v>
                </c:pt>
                <c:pt idx="167">
                  <c:v>10655</c:v>
                </c:pt>
                <c:pt idx="168">
                  <c:v>57027</c:v>
                </c:pt>
                <c:pt idx="169">
                  <c:v>10154</c:v>
                </c:pt>
                <c:pt idx="170">
                  <c:v>13622</c:v>
                </c:pt>
                <c:pt idx="171">
                  <c:v>1603</c:v>
                </c:pt>
                <c:pt idx="172">
                  <c:v>1698</c:v>
                </c:pt>
                <c:pt idx="173">
                  <c:v>319</c:v>
                </c:pt>
                <c:pt idx="174">
                  <c:v>222081</c:v>
                </c:pt>
                <c:pt idx="175">
                  <c:v>101060</c:v>
                </c:pt>
                <c:pt idx="176">
                  <c:v>460</c:v>
                </c:pt>
                <c:pt idx="177">
                  <c:v>7287</c:v>
                </c:pt>
                <c:pt idx="178">
                  <c:v>1601</c:v>
                </c:pt>
                <c:pt idx="179">
                  <c:v>5388</c:v>
                </c:pt>
                <c:pt idx="180">
                  <c:v>1534</c:v>
                </c:pt>
                <c:pt idx="181">
                  <c:v>10427</c:v>
                </c:pt>
                <c:pt idx="182">
                  <c:v>16796</c:v>
                </c:pt>
                <c:pt idx="183">
                  <c:v>217827</c:v>
                </c:pt>
                <c:pt idx="184">
                  <c:v>799</c:v>
                </c:pt>
                <c:pt idx="185">
                  <c:v>1865</c:v>
                </c:pt>
                <c:pt idx="186">
                  <c:v>1308</c:v>
                </c:pt>
                <c:pt idx="187">
                  <c:v>771</c:v>
                </c:pt>
                <c:pt idx="188">
                  <c:v>1121</c:v>
                </c:pt>
                <c:pt idx="189">
                  <c:v>8809</c:v>
                </c:pt>
                <c:pt idx="190">
                  <c:v>20347</c:v>
                </c:pt>
                <c:pt idx="191">
                  <c:v>24024</c:v>
                </c:pt>
                <c:pt idx="192">
                  <c:v>6200</c:v>
                </c:pt>
                <c:pt idx="193">
                  <c:v>34001</c:v>
                </c:pt>
                <c:pt idx="194">
                  <c:v>670</c:v>
                </c:pt>
                <c:pt idx="195">
                  <c:v>184463</c:v>
                </c:pt>
                <c:pt idx="196">
                  <c:v>1231</c:v>
                </c:pt>
                <c:pt idx="197">
                  <c:v>32900</c:v>
                </c:pt>
                <c:pt idx="198">
                  <c:v>5010</c:v>
                </c:pt>
                <c:pt idx="199">
                  <c:v>2812</c:v>
                </c:pt>
                <c:pt idx="200">
                  <c:v>16107</c:v>
                </c:pt>
                <c:pt idx="201">
                  <c:v>34360</c:v>
                </c:pt>
                <c:pt idx="202">
                  <c:v>15075</c:v>
                </c:pt>
                <c:pt idx="203">
                  <c:v>2100</c:v>
                </c:pt>
                <c:pt idx="204">
                  <c:v>2691</c:v>
                </c:pt>
                <c:pt idx="205">
                  <c:v>1428</c:v>
                </c:pt>
                <c:pt idx="206">
                  <c:v>13263</c:v>
                </c:pt>
                <c:pt idx="207">
                  <c:v>6495</c:v>
                </c:pt>
                <c:pt idx="208">
                  <c:v>1391</c:v>
                </c:pt>
                <c:pt idx="209">
                  <c:v>93637</c:v>
                </c:pt>
                <c:pt idx="210">
                  <c:v>9456</c:v>
                </c:pt>
                <c:pt idx="211">
                  <c:v>3140</c:v>
                </c:pt>
              </c:numCache>
            </c:numRef>
          </c:xVal>
          <c:yVal>
            <c:numRef>
              <c:f>City_Table!$F$5:$F$216</c:f>
              <c:numCache>
                <c:formatCode>General</c:formatCode>
                <c:ptCount val="212"/>
                <c:pt idx="0">
                  <c:v>63</c:v>
                </c:pt>
                <c:pt idx="1">
                  <c:v>8</c:v>
                </c:pt>
                <c:pt idx="2">
                  <c:v>9</c:v>
                </c:pt>
                <c:pt idx="3">
                  <c:v>287</c:v>
                </c:pt>
                <c:pt idx="4">
                  <c:v>172</c:v>
                </c:pt>
                <c:pt idx="5">
                  <c:v>4</c:v>
                </c:pt>
                <c:pt idx="6">
                  <c:v>629</c:v>
                </c:pt>
                <c:pt idx="7">
                  <c:v>746</c:v>
                </c:pt>
                <c:pt idx="8">
                  <c:v>204</c:v>
                </c:pt>
                <c:pt idx="9">
                  <c:v>3492</c:v>
                </c:pt>
                <c:pt idx="10">
                  <c:v>1218</c:v>
                </c:pt>
                <c:pt idx="11">
                  <c:v>24</c:v>
                </c:pt>
                <c:pt idx="12">
                  <c:v>24</c:v>
                </c:pt>
                <c:pt idx="13">
                  <c:v>53</c:v>
                </c:pt>
                <c:pt idx="14">
                  <c:v>173</c:v>
                </c:pt>
                <c:pt idx="15">
                  <c:v>246</c:v>
                </c:pt>
                <c:pt idx="16">
                  <c:v>1757</c:v>
                </c:pt>
                <c:pt idx="17">
                  <c:v>434</c:v>
                </c:pt>
                <c:pt idx="18">
                  <c:v>3</c:v>
                </c:pt>
                <c:pt idx="19">
                  <c:v>3</c:v>
                </c:pt>
                <c:pt idx="20">
                  <c:v>94</c:v>
                </c:pt>
                <c:pt idx="21">
                  <c:v>74</c:v>
                </c:pt>
                <c:pt idx="22">
                  <c:v>307</c:v>
                </c:pt>
                <c:pt idx="23">
                  <c:v>44</c:v>
                </c:pt>
                <c:pt idx="24">
                  <c:v>510</c:v>
                </c:pt>
                <c:pt idx="25">
                  <c:v>138</c:v>
                </c:pt>
                <c:pt idx="26">
                  <c:v>22</c:v>
                </c:pt>
                <c:pt idx="27">
                  <c:v>18</c:v>
                </c:pt>
                <c:pt idx="28">
                  <c:v>75</c:v>
                </c:pt>
                <c:pt idx="29">
                  <c:v>75</c:v>
                </c:pt>
                <c:pt idx="30">
                  <c:v>50</c:v>
                </c:pt>
                <c:pt idx="31">
                  <c:v>62</c:v>
                </c:pt>
                <c:pt idx="32">
                  <c:v>7</c:v>
                </c:pt>
                <c:pt idx="33">
                  <c:v>21</c:v>
                </c:pt>
                <c:pt idx="34">
                  <c:v>53</c:v>
                </c:pt>
                <c:pt idx="35">
                  <c:v>142</c:v>
                </c:pt>
                <c:pt idx="36">
                  <c:v>6</c:v>
                </c:pt>
                <c:pt idx="37">
                  <c:v>21</c:v>
                </c:pt>
                <c:pt idx="38">
                  <c:v>19</c:v>
                </c:pt>
                <c:pt idx="39">
                  <c:v>3</c:v>
                </c:pt>
                <c:pt idx="40">
                  <c:v>2</c:v>
                </c:pt>
                <c:pt idx="41">
                  <c:v>156</c:v>
                </c:pt>
                <c:pt idx="42">
                  <c:v>5</c:v>
                </c:pt>
                <c:pt idx="43">
                  <c:v>8</c:v>
                </c:pt>
                <c:pt idx="44">
                  <c:v>16</c:v>
                </c:pt>
                <c:pt idx="45">
                  <c:v>148</c:v>
                </c:pt>
                <c:pt idx="46">
                  <c:v>64</c:v>
                </c:pt>
                <c:pt idx="47">
                  <c:v>245</c:v>
                </c:pt>
                <c:pt idx="48">
                  <c:v>88</c:v>
                </c:pt>
                <c:pt idx="49">
                  <c:v>90</c:v>
                </c:pt>
                <c:pt idx="50">
                  <c:v>774</c:v>
                </c:pt>
                <c:pt idx="51">
                  <c:v>2</c:v>
                </c:pt>
                <c:pt idx="52">
                  <c:v>83</c:v>
                </c:pt>
                <c:pt idx="53">
                  <c:v>27</c:v>
                </c:pt>
                <c:pt idx="54">
                  <c:v>11</c:v>
                </c:pt>
                <c:pt idx="55">
                  <c:v>117</c:v>
                </c:pt>
                <c:pt idx="56">
                  <c:v>22</c:v>
                </c:pt>
                <c:pt idx="57">
                  <c:v>927</c:v>
                </c:pt>
                <c:pt idx="58">
                  <c:v>38</c:v>
                </c:pt>
                <c:pt idx="59">
                  <c:v>460</c:v>
                </c:pt>
                <c:pt idx="60">
                  <c:v>137</c:v>
                </c:pt>
                <c:pt idx="61">
                  <c:v>33</c:v>
                </c:pt>
                <c:pt idx="62">
                  <c:v>37</c:v>
                </c:pt>
                <c:pt idx="63">
                  <c:v>6</c:v>
                </c:pt>
                <c:pt idx="64">
                  <c:v>2</c:v>
                </c:pt>
                <c:pt idx="65">
                  <c:v>701</c:v>
                </c:pt>
                <c:pt idx="66">
                  <c:v>26</c:v>
                </c:pt>
                <c:pt idx="67">
                  <c:v>13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28</c:v>
                </c:pt>
                <c:pt idx="72">
                  <c:v>1</c:v>
                </c:pt>
                <c:pt idx="73">
                  <c:v>44</c:v>
                </c:pt>
                <c:pt idx="74">
                  <c:v>6</c:v>
                </c:pt>
                <c:pt idx="75">
                  <c:v>1104</c:v>
                </c:pt>
                <c:pt idx="76">
                  <c:v>1</c:v>
                </c:pt>
                <c:pt idx="77">
                  <c:v>35</c:v>
                </c:pt>
                <c:pt idx="78">
                  <c:v>62</c:v>
                </c:pt>
                <c:pt idx="79">
                  <c:v>404</c:v>
                </c:pt>
                <c:pt idx="80">
                  <c:v>333</c:v>
                </c:pt>
                <c:pt idx="81">
                  <c:v>799</c:v>
                </c:pt>
                <c:pt idx="82">
                  <c:v>15</c:v>
                </c:pt>
                <c:pt idx="83">
                  <c:v>2113</c:v>
                </c:pt>
                <c:pt idx="84">
                  <c:v>1</c:v>
                </c:pt>
                <c:pt idx="85">
                  <c:v>65</c:v>
                </c:pt>
                <c:pt idx="86">
                  <c:v>389</c:v>
                </c:pt>
                <c:pt idx="87">
                  <c:v>257</c:v>
                </c:pt>
                <c:pt idx="88">
                  <c:v>343</c:v>
                </c:pt>
                <c:pt idx="89">
                  <c:v>227</c:v>
                </c:pt>
                <c:pt idx="90">
                  <c:v>102</c:v>
                </c:pt>
                <c:pt idx="91">
                  <c:v>97</c:v>
                </c:pt>
                <c:pt idx="92">
                  <c:v>68</c:v>
                </c:pt>
                <c:pt idx="93">
                  <c:v>12</c:v>
                </c:pt>
                <c:pt idx="94">
                  <c:v>132</c:v>
                </c:pt>
                <c:pt idx="95">
                  <c:v>86</c:v>
                </c:pt>
                <c:pt idx="96">
                  <c:v>751</c:v>
                </c:pt>
                <c:pt idx="97">
                  <c:v>1</c:v>
                </c:pt>
                <c:pt idx="98">
                  <c:v>424</c:v>
                </c:pt>
                <c:pt idx="99">
                  <c:v>331</c:v>
                </c:pt>
                <c:pt idx="100">
                  <c:v>7</c:v>
                </c:pt>
                <c:pt idx="101">
                  <c:v>11</c:v>
                </c:pt>
                <c:pt idx="102">
                  <c:v>14</c:v>
                </c:pt>
                <c:pt idx="103">
                  <c:v>161</c:v>
                </c:pt>
                <c:pt idx="104">
                  <c:v>1024</c:v>
                </c:pt>
                <c:pt idx="105">
                  <c:v>4</c:v>
                </c:pt>
                <c:pt idx="106">
                  <c:v>242</c:v>
                </c:pt>
                <c:pt idx="107">
                  <c:v>2</c:v>
                </c:pt>
                <c:pt idx="108">
                  <c:v>28</c:v>
                </c:pt>
                <c:pt idx="109">
                  <c:v>233</c:v>
                </c:pt>
                <c:pt idx="110">
                  <c:v>30</c:v>
                </c:pt>
                <c:pt idx="111">
                  <c:v>4</c:v>
                </c:pt>
                <c:pt idx="112">
                  <c:v>83</c:v>
                </c:pt>
                <c:pt idx="113">
                  <c:v>6</c:v>
                </c:pt>
                <c:pt idx="114">
                  <c:v>245</c:v>
                </c:pt>
                <c:pt idx="115">
                  <c:v>122</c:v>
                </c:pt>
                <c:pt idx="116">
                  <c:v>25</c:v>
                </c:pt>
                <c:pt idx="117">
                  <c:v>285</c:v>
                </c:pt>
                <c:pt idx="118">
                  <c:v>1</c:v>
                </c:pt>
                <c:pt idx="119">
                  <c:v>339</c:v>
                </c:pt>
                <c:pt idx="120">
                  <c:v>11</c:v>
                </c:pt>
                <c:pt idx="121">
                  <c:v>5</c:v>
                </c:pt>
                <c:pt idx="122">
                  <c:v>124</c:v>
                </c:pt>
                <c:pt idx="123">
                  <c:v>250</c:v>
                </c:pt>
                <c:pt idx="124">
                  <c:v>1</c:v>
                </c:pt>
                <c:pt idx="125">
                  <c:v>174</c:v>
                </c:pt>
                <c:pt idx="126">
                  <c:v>9</c:v>
                </c:pt>
                <c:pt idx="127">
                  <c:v>58</c:v>
                </c:pt>
                <c:pt idx="128">
                  <c:v>6</c:v>
                </c:pt>
                <c:pt idx="129">
                  <c:v>1623</c:v>
                </c:pt>
                <c:pt idx="130">
                  <c:v>7</c:v>
                </c:pt>
                <c:pt idx="131">
                  <c:v>6</c:v>
                </c:pt>
                <c:pt idx="132">
                  <c:v>51</c:v>
                </c:pt>
                <c:pt idx="133">
                  <c:v>15</c:v>
                </c:pt>
                <c:pt idx="134">
                  <c:v>21</c:v>
                </c:pt>
                <c:pt idx="135">
                  <c:v>9</c:v>
                </c:pt>
                <c:pt idx="136">
                  <c:v>142</c:v>
                </c:pt>
                <c:pt idx="137">
                  <c:v>2</c:v>
                </c:pt>
                <c:pt idx="138">
                  <c:v>5</c:v>
                </c:pt>
                <c:pt idx="139">
                  <c:v>192</c:v>
                </c:pt>
                <c:pt idx="140">
                  <c:v>359</c:v>
                </c:pt>
                <c:pt idx="141">
                  <c:v>275</c:v>
                </c:pt>
                <c:pt idx="142">
                  <c:v>289</c:v>
                </c:pt>
                <c:pt idx="143">
                  <c:v>289</c:v>
                </c:pt>
                <c:pt idx="144">
                  <c:v>11</c:v>
                </c:pt>
                <c:pt idx="145">
                  <c:v>72</c:v>
                </c:pt>
                <c:pt idx="146">
                  <c:v>591</c:v>
                </c:pt>
                <c:pt idx="147">
                  <c:v>22</c:v>
                </c:pt>
                <c:pt idx="148">
                  <c:v>18</c:v>
                </c:pt>
                <c:pt idx="149">
                  <c:v>12</c:v>
                </c:pt>
                <c:pt idx="150">
                  <c:v>2715</c:v>
                </c:pt>
                <c:pt idx="151">
                  <c:v>1437</c:v>
                </c:pt>
                <c:pt idx="152">
                  <c:v>5</c:v>
                </c:pt>
                <c:pt idx="153">
                  <c:v>361</c:v>
                </c:pt>
                <c:pt idx="154">
                  <c:v>238</c:v>
                </c:pt>
                <c:pt idx="155">
                  <c:v>5</c:v>
                </c:pt>
                <c:pt idx="156">
                  <c:v>1</c:v>
                </c:pt>
                <c:pt idx="157">
                  <c:v>1</c:v>
                </c:pt>
                <c:pt idx="158">
                  <c:v>50</c:v>
                </c:pt>
                <c:pt idx="159">
                  <c:v>2</c:v>
                </c:pt>
                <c:pt idx="160">
                  <c:v>27</c:v>
                </c:pt>
                <c:pt idx="161">
                  <c:v>1903</c:v>
                </c:pt>
                <c:pt idx="162">
                  <c:v>123</c:v>
                </c:pt>
                <c:pt idx="163">
                  <c:v>12515</c:v>
                </c:pt>
                <c:pt idx="164">
                  <c:v>88</c:v>
                </c:pt>
                <c:pt idx="165">
                  <c:v>27</c:v>
                </c:pt>
                <c:pt idx="166">
                  <c:v>268</c:v>
                </c:pt>
                <c:pt idx="167">
                  <c:v>165</c:v>
                </c:pt>
                <c:pt idx="168">
                  <c:v>768</c:v>
                </c:pt>
                <c:pt idx="169">
                  <c:v>741</c:v>
                </c:pt>
                <c:pt idx="170">
                  <c:v>308</c:v>
                </c:pt>
                <c:pt idx="171">
                  <c:v>9</c:v>
                </c:pt>
                <c:pt idx="172">
                  <c:v>2</c:v>
                </c:pt>
                <c:pt idx="173">
                  <c:v>2</c:v>
                </c:pt>
                <c:pt idx="174">
                  <c:v>895</c:v>
                </c:pt>
                <c:pt idx="175">
                  <c:v>198</c:v>
                </c:pt>
                <c:pt idx="176">
                  <c:v>1</c:v>
                </c:pt>
                <c:pt idx="177">
                  <c:v>164</c:v>
                </c:pt>
                <c:pt idx="178">
                  <c:v>23</c:v>
                </c:pt>
                <c:pt idx="179">
                  <c:v>40</c:v>
                </c:pt>
                <c:pt idx="180">
                  <c:v>7</c:v>
                </c:pt>
                <c:pt idx="181">
                  <c:v>46</c:v>
                </c:pt>
                <c:pt idx="182">
                  <c:v>18</c:v>
                </c:pt>
                <c:pt idx="183">
                  <c:v>1426</c:v>
                </c:pt>
                <c:pt idx="184">
                  <c:v>1</c:v>
                </c:pt>
                <c:pt idx="185">
                  <c:v>46</c:v>
                </c:pt>
                <c:pt idx="186">
                  <c:v>3</c:v>
                </c:pt>
                <c:pt idx="187">
                  <c:v>16</c:v>
                </c:pt>
                <c:pt idx="188">
                  <c:v>7</c:v>
                </c:pt>
                <c:pt idx="189">
                  <c:v>9</c:v>
                </c:pt>
                <c:pt idx="190">
                  <c:v>140</c:v>
                </c:pt>
                <c:pt idx="191">
                  <c:v>254</c:v>
                </c:pt>
                <c:pt idx="192">
                  <c:v>2</c:v>
                </c:pt>
                <c:pt idx="193">
                  <c:v>284</c:v>
                </c:pt>
                <c:pt idx="194">
                  <c:v>2</c:v>
                </c:pt>
                <c:pt idx="195">
                  <c:v>2117</c:v>
                </c:pt>
                <c:pt idx="196">
                  <c:v>7</c:v>
                </c:pt>
                <c:pt idx="197">
                  <c:v>123</c:v>
                </c:pt>
                <c:pt idx="198">
                  <c:v>3</c:v>
                </c:pt>
                <c:pt idx="199">
                  <c:v>3</c:v>
                </c:pt>
                <c:pt idx="200">
                  <c:v>196</c:v>
                </c:pt>
                <c:pt idx="201">
                  <c:v>138</c:v>
                </c:pt>
                <c:pt idx="202">
                  <c:v>57</c:v>
                </c:pt>
                <c:pt idx="203">
                  <c:v>7</c:v>
                </c:pt>
                <c:pt idx="204">
                  <c:v>54</c:v>
                </c:pt>
                <c:pt idx="205">
                  <c:v>22</c:v>
                </c:pt>
                <c:pt idx="206">
                  <c:v>1044</c:v>
                </c:pt>
                <c:pt idx="207">
                  <c:v>51</c:v>
                </c:pt>
                <c:pt idx="208">
                  <c:v>46</c:v>
                </c:pt>
                <c:pt idx="209">
                  <c:v>192</c:v>
                </c:pt>
                <c:pt idx="210">
                  <c:v>103</c:v>
                </c:pt>
                <c:pt idx="21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3-43BD-B00F-8A346187D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018863"/>
        <c:axId val="1361004719"/>
      </c:scatterChart>
      <c:valAx>
        <c:axId val="13610188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04719"/>
        <c:crosses val="autoZero"/>
        <c:crossBetween val="midCat"/>
      </c:valAx>
      <c:valAx>
        <c:axId val="136100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Ev's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18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EV's Per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City_Table!$E$5:$E$216</c:f>
              <c:numCache>
                <c:formatCode>General</c:formatCode>
                <c:ptCount val="212"/>
                <c:pt idx="0">
                  <c:v>10.65</c:v>
                </c:pt>
                <c:pt idx="1">
                  <c:v>5.12</c:v>
                </c:pt>
                <c:pt idx="2">
                  <c:v>1.3</c:v>
                </c:pt>
                <c:pt idx="3">
                  <c:v>11.76</c:v>
                </c:pt>
                <c:pt idx="4">
                  <c:v>9.3000000000000007</c:v>
                </c:pt>
                <c:pt idx="5">
                  <c:v>1.05</c:v>
                </c:pt>
                <c:pt idx="6">
                  <c:v>29.62</c:v>
                </c:pt>
                <c:pt idx="7">
                  <c:v>27.61</c:v>
                </c:pt>
                <c:pt idx="8">
                  <c:v>7.86</c:v>
                </c:pt>
                <c:pt idx="9">
                  <c:v>33.479999999999997</c:v>
                </c:pt>
                <c:pt idx="10">
                  <c:v>27.07</c:v>
                </c:pt>
                <c:pt idx="11">
                  <c:v>2.4300000000000002</c:v>
                </c:pt>
                <c:pt idx="12">
                  <c:v>0.62</c:v>
                </c:pt>
                <c:pt idx="13">
                  <c:v>6.56</c:v>
                </c:pt>
                <c:pt idx="14">
                  <c:v>5.63</c:v>
                </c:pt>
                <c:pt idx="15">
                  <c:v>7.94</c:v>
                </c:pt>
                <c:pt idx="16">
                  <c:v>12.1</c:v>
                </c:pt>
                <c:pt idx="17">
                  <c:v>28.42</c:v>
                </c:pt>
                <c:pt idx="18">
                  <c:v>1.19</c:v>
                </c:pt>
                <c:pt idx="19">
                  <c:v>1.05</c:v>
                </c:pt>
                <c:pt idx="20">
                  <c:v>2.13</c:v>
                </c:pt>
                <c:pt idx="21">
                  <c:v>3.87</c:v>
                </c:pt>
                <c:pt idx="22">
                  <c:v>10.06</c:v>
                </c:pt>
                <c:pt idx="23">
                  <c:v>4.25</c:v>
                </c:pt>
                <c:pt idx="24">
                  <c:v>13.74</c:v>
                </c:pt>
                <c:pt idx="25">
                  <c:v>1.1599999999999999</c:v>
                </c:pt>
                <c:pt idx="26">
                  <c:v>1.1100000000000001</c:v>
                </c:pt>
                <c:pt idx="27">
                  <c:v>1.99</c:v>
                </c:pt>
                <c:pt idx="28">
                  <c:v>7.49</c:v>
                </c:pt>
                <c:pt idx="29">
                  <c:v>5.53</c:v>
                </c:pt>
                <c:pt idx="30">
                  <c:v>6.36</c:v>
                </c:pt>
                <c:pt idx="31">
                  <c:v>4.3499999999999996</c:v>
                </c:pt>
                <c:pt idx="32">
                  <c:v>2.98</c:v>
                </c:pt>
                <c:pt idx="33">
                  <c:v>2.0099999999999998</c:v>
                </c:pt>
                <c:pt idx="34">
                  <c:v>3.82</c:v>
                </c:pt>
                <c:pt idx="35">
                  <c:v>1.06</c:v>
                </c:pt>
                <c:pt idx="36">
                  <c:v>3.79</c:v>
                </c:pt>
                <c:pt idx="37">
                  <c:v>2.68</c:v>
                </c:pt>
                <c:pt idx="38">
                  <c:v>2.97</c:v>
                </c:pt>
                <c:pt idx="39">
                  <c:v>7.87</c:v>
                </c:pt>
                <c:pt idx="40">
                  <c:v>1.33</c:v>
                </c:pt>
                <c:pt idx="41">
                  <c:v>5.81</c:v>
                </c:pt>
                <c:pt idx="42">
                  <c:v>1.82</c:v>
                </c:pt>
                <c:pt idx="43">
                  <c:v>1.43</c:v>
                </c:pt>
                <c:pt idx="44">
                  <c:v>6.89</c:v>
                </c:pt>
                <c:pt idx="45">
                  <c:v>6.5</c:v>
                </c:pt>
                <c:pt idx="46">
                  <c:v>5.86</c:v>
                </c:pt>
                <c:pt idx="47">
                  <c:v>2.4500000000000002</c:v>
                </c:pt>
                <c:pt idx="48">
                  <c:v>3.8</c:v>
                </c:pt>
                <c:pt idx="49">
                  <c:v>8.41</c:v>
                </c:pt>
                <c:pt idx="50">
                  <c:v>8.9</c:v>
                </c:pt>
                <c:pt idx="51">
                  <c:v>1.98</c:v>
                </c:pt>
                <c:pt idx="52">
                  <c:v>7.03</c:v>
                </c:pt>
                <c:pt idx="53">
                  <c:v>1.89</c:v>
                </c:pt>
                <c:pt idx="54">
                  <c:v>2.11</c:v>
                </c:pt>
                <c:pt idx="55">
                  <c:v>5.16</c:v>
                </c:pt>
                <c:pt idx="56">
                  <c:v>10.09</c:v>
                </c:pt>
                <c:pt idx="57">
                  <c:v>33.11</c:v>
                </c:pt>
                <c:pt idx="58">
                  <c:v>1.31</c:v>
                </c:pt>
                <c:pt idx="59">
                  <c:v>22.27</c:v>
                </c:pt>
                <c:pt idx="60">
                  <c:v>7.03</c:v>
                </c:pt>
                <c:pt idx="61">
                  <c:v>5.69</c:v>
                </c:pt>
                <c:pt idx="62">
                  <c:v>1.58</c:v>
                </c:pt>
                <c:pt idx="63">
                  <c:v>3.91</c:v>
                </c:pt>
                <c:pt idx="64">
                  <c:v>1.33</c:v>
                </c:pt>
                <c:pt idx="65">
                  <c:v>5.95</c:v>
                </c:pt>
                <c:pt idx="66">
                  <c:v>1.03</c:v>
                </c:pt>
                <c:pt idx="67">
                  <c:v>2.52</c:v>
                </c:pt>
                <c:pt idx="68">
                  <c:v>1.24</c:v>
                </c:pt>
                <c:pt idx="69">
                  <c:v>6.23</c:v>
                </c:pt>
                <c:pt idx="70">
                  <c:v>1.79</c:v>
                </c:pt>
                <c:pt idx="71">
                  <c:v>2.19</c:v>
                </c:pt>
                <c:pt idx="72">
                  <c:v>0.38</c:v>
                </c:pt>
                <c:pt idx="73">
                  <c:v>9.08</c:v>
                </c:pt>
                <c:pt idx="74">
                  <c:v>2.1</c:v>
                </c:pt>
                <c:pt idx="75">
                  <c:v>11.41</c:v>
                </c:pt>
                <c:pt idx="76">
                  <c:v>0.47</c:v>
                </c:pt>
                <c:pt idx="77">
                  <c:v>2.77</c:v>
                </c:pt>
                <c:pt idx="78">
                  <c:v>8.14</c:v>
                </c:pt>
                <c:pt idx="79">
                  <c:v>6.17</c:v>
                </c:pt>
                <c:pt idx="80">
                  <c:v>26.87</c:v>
                </c:pt>
                <c:pt idx="81">
                  <c:v>33.76</c:v>
                </c:pt>
                <c:pt idx="82">
                  <c:v>1.1200000000000001</c:v>
                </c:pt>
                <c:pt idx="83">
                  <c:v>17.82</c:v>
                </c:pt>
                <c:pt idx="84">
                  <c:v>0.73</c:v>
                </c:pt>
                <c:pt idx="85">
                  <c:v>2.21</c:v>
                </c:pt>
                <c:pt idx="86">
                  <c:v>16.059999999999999</c:v>
                </c:pt>
                <c:pt idx="87">
                  <c:v>3.53</c:v>
                </c:pt>
                <c:pt idx="88">
                  <c:v>8.8800000000000008</c:v>
                </c:pt>
                <c:pt idx="89">
                  <c:v>17.18</c:v>
                </c:pt>
                <c:pt idx="90">
                  <c:v>1.08</c:v>
                </c:pt>
                <c:pt idx="91">
                  <c:v>1.23</c:v>
                </c:pt>
                <c:pt idx="92">
                  <c:v>6.14</c:v>
                </c:pt>
                <c:pt idx="93">
                  <c:v>1.35</c:v>
                </c:pt>
                <c:pt idx="94">
                  <c:v>14.54</c:v>
                </c:pt>
                <c:pt idx="95">
                  <c:v>5.26</c:v>
                </c:pt>
                <c:pt idx="96">
                  <c:v>7.85</c:v>
                </c:pt>
                <c:pt idx="97">
                  <c:v>0.81</c:v>
                </c:pt>
                <c:pt idx="98">
                  <c:v>5.73</c:v>
                </c:pt>
                <c:pt idx="99">
                  <c:v>20.69</c:v>
                </c:pt>
                <c:pt idx="100">
                  <c:v>0.74</c:v>
                </c:pt>
                <c:pt idx="101">
                  <c:v>2.0499999999999998</c:v>
                </c:pt>
                <c:pt idx="102">
                  <c:v>3.4</c:v>
                </c:pt>
                <c:pt idx="103">
                  <c:v>1.45</c:v>
                </c:pt>
                <c:pt idx="104">
                  <c:v>6.32</c:v>
                </c:pt>
                <c:pt idx="105">
                  <c:v>1.64</c:v>
                </c:pt>
                <c:pt idx="106">
                  <c:v>4.66</c:v>
                </c:pt>
                <c:pt idx="107">
                  <c:v>0.7</c:v>
                </c:pt>
                <c:pt idx="108">
                  <c:v>2.62</c:v>
                </c:pt>
                <c:pt idx="109">
                  <c:v>6.05</c:v>
                </c:pt>
                <c:pt idx="110">
                  <c:v>10.58</c:v>
                </c:pt>
                <c:pt idx="111">
                  <c:v>0.82</c:v>
                </c:pt>
                <c:pt idx="112">
                  <c:v>17.84</c:v>
                </c:pt>
                <c:pt idx="113">
                  <c:v>0.68</c:v>
                </c:pt>
                <c:pt idx="114">
                  <c:v>12.24</c:v>
                </c:pt>
                <c:pt idx="115">
                  <c:v>4.0599999999999996</c:v>
                </c:pt>
                <c:pt idx="116">
                  <c:v>2.2000000000000002</c:v>
                </c:pt>
                <c:pt idx="117">
                  <c:v>6.34</c:v>
                </c:pt>
                <c:pt idx="118">
                  <c:v>2.38</c:v>
                </c:pt>
                <c:pt idx="119">
                  <c:v>4.45</c:v>
                </c:pt>
                <c:pt idx="120">
                  <c:v>1.35</c:v>
                </c:pt>
                <c:pt idx="121">
                  <c:v>0.71</c:v>
                </c:pt>
                <c:pt idx="122">
                  <c:v>2.52</c:v>
                </c:pt>
                <c:pt idx="123">
                  <c:v>4.37</c:v>
                </c:pt>
                <c:pt idx="124">
                  <c:v>2.41</c:v>
                </c:pt>
                <c:pt idx="125">
                  <c:v>9.65</c:v>
                </c:pt>
                <c:pt idx="126">
                  <c:v>0.5</c:v>
                </c:pt>
                <c:pt idx="127">
                  <c:v>8.51</c:v>
                </c:pt>
                <c:pt idx="128">
                  <c:v>1.99</c:v>
                </c:pt>
                <c:pt idx="129">
                  <c:v>17.82</c:v>
                </c:pt>
                <c:pt idx="130">
                  <c:v>3.46</c:v>
                </c:pt>
                <c:pt idx="131">
                  <c:v>1.64</c:v>
                </c:pt>
                <c:pt idx="132">
                  <c:v>2.73</c:v>
                </c:pt>
                <c:pt idx="133">
                  <c:v>3.81</c:v>
                </c:pt>
                <c:pt idx="134">
                  <c:v>2.41</c:v>
                </c:pt>
                <c:pt idx="135">
                  <c:v>1.08</c:v>
                </c:pt>
                <c:pt idx="136">
                  <c:v>31.46</c:v>
                </c:pt>
                <c:pt idx="137">
                  <c:v>0.49</c:v>
                </c:pt>
                <c:pt idx="138">
                  <c:v>1.78</c:v>
                </c:pt>
                <c:pt idx="139">
                  <c:v>10.7</c:v>
                </c:pt>
                <c:pt idx="140">
                  <c:v>9.68</c:v>
                </c:pt>
                <c:pt idx="141">
                  <c:v>6.98</c:v>
                </c:pt>
                <c:pt idx="142">
                  <c:v>4.74</c:v>
                </c:pt>
                <c:pt idx="143">
                  <c:v>0.4</c:v>
                </c:pt>
                <c:pt idx="144">
                  <c:v>4.55</c:v>
                </c:pt>
                <c:pt idx="145">
                  <c:v>9.8800000000000008</c:v>
                </c:pt>
                <c:pt idx="146">
                  <c:v>14.11</c:v>
                </c:pt>
                <c:pt idx="147">
                  <c:v>4.9800000000000004</c:v>
                </c:pt>
                <c:pt idx="148">
                  <c:v>1.73</c:v>
                </c:pt>
                <c:pt idx="149">
                  <c:v>4.0599999999999996</c:v>
                </c:pt>
                <c:pt idx="150">
                  <c:v>16.47</c:v>
                </c:pt>
                <c:pt idx="151">
                  <c:v>23.37</c:v>
                </c:pt>
                <c:pt idx="152">
                  <c:v>1.59</c:v>
                </c:pt>
                <c:pt idx="153">
                  <c:v>38.56</c:v>
                </c:pt>
                <c:pt idx="154">
                  <c:v>7.08</c:v>
                </c:pt>
                <c:pt idx="155">
                  <c:v>1.7</c:v>
                </c:pt>
                <c:pt idx="156">
                  <c:v>0.62</c:v>
                </c:pt>
                <c:pt idx="157">
                  <c:v>4.37</c:v>
                </c:pt>
                <c:pt idx="158">
                  <c:v>0.49</c:v>
                </c:pt>
                <c:pt idx="159">
                  <c:v>1.35</c:v>
                </c:pt>
                <c:pt idx="160">
                  <c:v>0.26</c:v>
                </c:pt>
                <c:pt idx="161">
                  <c:v>18.41</c:v>
                </c:pt>
                <c:pt idx="162">
                  <c:v>10.029999999999999</c:v>
                </c:pt>
                <c:pt idx="163">
                  <c:v>83.84</c:v>
                </c:pt>
                <c:pt idx="164">
                  <c:v>3.93</c:v>
                </c:pt>
                <c:pt idx="165">
                  <c:v>4.51</c:v>
                </c:pt>
                <c:pt idx="166">
                  <c:v>6.31</c:v>
                </c:pt>
                <c:pt idx="167">
                  <c:v>5.76</c:v>
                </c:pt>
                <c:pt idx="168">
                  <c:v>11.67</c:v>
                </c:pt>
                <c:pt idx="169">
                  <c:v>3.46</c:v>
                </c:pt>
                <c:pt idx="170">
                  <c:v>7.22</c:v>
                </c:pt>
                <c:pt idx="171">
                  <c:v>1.3</c:v>
                </c:pt>
                <c:pt idx="172">
                  <c:v>1.63</c:v>
                </c:pt>
                <c:pt idx="173">
                  <c:v>0.36</c:v>
                </c:pt>
                <c:pt idx="174">
                  <c:v>68.73</c:v>
                </c:pt>
                <c:pt idx="175">
                  <c:v>37.71</c:v>
                </c:pt>
                <c:pt idx="176">
                  <c:v>0.63</c:v>
                </c:pt>
                <c:pt idx="177">
                  <c:v>2.82</c:v>
                </c:pt>
                <c:pt idx="178">
                  <c:v>1.65</c:v>
                </c:pt>
                <c:pt idx="179">
                  <c:v>3.15</c:v>
                </c:pt>
                <c:pt idx="180">
                  <c:v>1.48</c:v>
                </c:pt>
                <c:pt idx="181">
                  <c:v>7.51</c:v>
                </c:pt>
                <c:pt idx="182">
                  <c:v>6.63</c:v>
                </c:pt>
                <c:pt idx="183">
                  <c:v>49.73</c:v>
                </c:pt>
                <c:pt idx="184">
                  <c:v>1.1399999999999999</c:v>
                </c:pt>
                <c:pt idx="185">
                  <c:v>1.44</c:v>
                </c:pt>
                <c:pt idx="186">
                  <c:v>0.82</c:v>
                </c:pt>
                <c:pt idx="187">
                  <c:v>0.4</c:v>
                </c:pt>
                <c:pt idx="188">
                  <c:v>0.8</c:v>
                </c:pt>
                <c:pt idx="189">
                  <c:v>2.11</c:v>
                </c:pt>
                <c:pt idx="190">
                  <c:v>9.17</c:v>
                </c:pt>
                <c:pt idx="191">
                  <c:v>14.32</c:v>
                </c:pt>
                <c:pt idx="192">
                  <c:v>5.0599999999999996</c:v>
                </c:pt>
                <c:pt idx="193">
                  <c:v>8.43</c:v>
                </c:pt>
                <c:pt idx="194">
                  <c:v>0.93</c:v>
                </c:pt>
                <c:pt idx="195">
                  <c:v>46.78</c:v>
                </c:pt>
                <c:pt idx="196">
                  <c:v>1.1200000000000001</c:v>
                </c:pt>
                <c:pt idx="197">
                  <c:v>12.8</c:v>
                </c:pt>
                <c:pt idx="198">
                  <c:v>1.17</c:v>
                </c:pt>
                <c:pt idx="199">
                  <c:v>2.66</c:v>
                </c:pt>
                <c:pt idx="200">
                  <c:v>5.47</c:v>
                </c:pt>
                <c:pt idx="201">
                  <c:v>7.86</c:v>
                </c:pt>
                <c:pt idx="202">
                  <c:v>21.97</c:v>
                </c:pt>
                <c:pt idx="203">
                  <c:v>3.68</c:v>
                </c:pt>
                <c:pt idx="204">
                  <c:v>1.24</c:v>
                </c:pt>
                <c:pt idx="205">
                  <c:v>1.29</c:v>
                </c:pt>
                <c:pt idx="206">
                  <c:v>5.6</c:v>
                </c:pt>
                <c:pt idx="207">
                  <c:v>4.05</c:v>
                </c:pt>
                <c:pt idx="208">
                  <c:v>1.1100000000000001</c:v>
                </c:pt>
                <c:pt idx="209">
                  <c:v>27.63</c:v>
                </c:pt>
                <c:pt idx="210">
                  <c:v>5.68</c:v>
                </c:pt>
                <c:pt idx="211">
                  <c:v>1.85</c:v>
                </c:pt>
              </c:numCache>
            </c:numRef>
          </c:xVal>
          <c:yVal>
            <c:numRef>
              <c:f>City_Table!$F$5:$F$216</c:f>
              <c:numCache>
                <c:formatCode>General</c:formatCode>
                <c:ptCount val="212"/>
                <c:pt idx="0">
                  <c:v>63</c:v>
                </c:pt>
                <c:pt idx="1">
                  <c:v>8</c:v>
                </c:pt>
                <c:pt idx="2">
                  <c:v>9</c:v>
                </c:pt>
                <c:pt idx="3">
                  <c:v>287</c:v>
                </c:pt>
                <c:pt idx="4">
                  <c:v>172</c:v>
                </c:pt>
                <c:pt idx="5">
                  <c:v>4</c:v>
                </c:pt>
                <c:pt idx="6">
                  <c:v>629</c:v>
                </c:pt>
                <c:pt idx="7">
                  <c:v>746</c:v>
                </c:pt>
                <c:pt idx="8">
                  <c:v>204</c:v>
                </c:pt>
                <c:pt idx="9">
                  <c:v>3492</c:v>
                </c:pt>
                <c:pt idx="10">
                  <c:v>1218</c:v>
                </c:pt>
                <c:pt idx="11">
                  <c:v>24</c:v>
                </c:pt>
                <c:pt idx="12">
                  <c:v>24</c:v>
                </c:pt>
                <c:pt idx="13">
                  <c:v>53</c:v>
                </c:pt>
                <c:pt idx="14">
                  <c:v>173</c:v>
                </c:pt>
                <c:pt idx="15">
                  <c:v>246</c:v>
                </c:pt>
                <c:pt idx="16">
                  <c:v>1757</c:v>
                </c:pt>
                <c:pt idx="17">
                  <c:v>434</c:v>
                </c:pt>
                <c:pt idx="18">
                  <c:v>3</c:v>
                </c:pt>
                <c:pt idx="19">
                  <c:v>3</c:v>
                </c:pt>
                <c:pt idx="20">
                  <c:v>94</c:v>
                </c:pt>
                <c:pt idx="21">
                  <c:v>74</c:v>
                </c:pt>
                <c:pt idx="22">
                  <c:v>307</c:v>
                </c:pt>
                <c:pt idx="23">
                  <c:v>44</c:v>
                </c:pt>
                <c:pt idx="24">
                  <c:v>510</c:v>
                </c:pt>
                <c:pt idx="25">
                  <c:v>138</c:v>
                </c:pt>
                <c:pt idx="26">
                  <c:v>22</c:v>
                </c:pt>
                <c:pt idx="27">
                  <c:v>18</c:v>
                </c:pt>
                <c:pt idx="28">
                  <c:v>75</c:v>
                </c:pt>
                <c:pt idx="29">
                  <c:v>75</c:v>
                </c:pt>
                <c:pt idx="30">
                  <c:v>50</c:v>
                </c:pt>
                <c:pt idx="31">
                  <c:v>62</c:v>
                </c:pt>
                <c:pt idx="32">
                  <c:v>7</c:v>
                </c:pt>
                <c:pt idx="33">
                  <c:v>21</c:v>
                </c:pt>
                <c:pt idx="34">
                  <c:v>53</c:v>
                </c:pt>
                <c:pt idx="35">
                  <c:v>142</c:v>
                </c:pt>
                <c:pt idx="36">
                  <c:v>6</c:v>
                </c:pt>
                <c:pt idx="37">
                  <c:v>21</c:v>
                </c:pt>
                <c:pt idx="38">
                  <c:v>19</c:v>
                </c:pt>
                <c:pt idx="39">
                  <c:v>3</c:v>
                </c:pt>
                <c:pt idx="40">
                  <c:v>2</c:v>
                </c:pt>
                <c:pt idx="41">
                  <c:v>156</c:v>
                </c:pt>
                <c:pt idx="42">
                  <c:v>5</c:v>
                </c:pt>
                <c:pt idx="43">
                  <c:v>8</c:v>
                </c:pt>
                <c:pt idx="44">
                  <c:v>16</c:v>
                </c:pt>
                <c:pt idx="45">
                  <c:v>148</c:v>
                </c:pt>
                <c:pt idx="46">
                  <c:v>64</c:v>
                </c:pt>
                <c:pt idx="47">
                  <c:v>245</c:v>
                </c:pt>
                <c:pt idx="48">
                  <c:v>88</c:v>
                </c:pt>
                <c:pt idx="49">
                  <c:v>90</c:v>
                </c:pt>
                <c:pt idx="50">
                  <c:v>774</c:v>
                </c:pt>
                <c:pt idx="51">
                  <c:v>2</c:v>
                </c:pt>
                <c:pt idx="52">
                  <c:v>83</c:v>
                </c:pt>
                <c:pt idx="53">
                  <c:v>27</c:v>
                </c:pt>
                <c:pt idx="54">
                  <c:v>11</c:v>
                </c:pt>
                <c:pt idx="55">
                  <c:v>117</c:v>
                </c:pt>
                <c:pt idx="56">
                  <c:v>22</c:v>
                </c:pt>
                <c:pt idx="57">
                  <c:v>927</c:v>
                </c:pt>
                <c:pt idx="58">
                  <c:v>38</c:v>
                </c:pt>
                <c:pt idx="59">
                  <c:v>460</c:v>
                </c:pt>
                <c:pt idx="60">
                  <c:v>137</c:v>
                </c:pt>
                <c:pt idx="61">
                  <c:v>33</c:v>
                </c:pt>
                <c:pt idx="62">
                  <c:v>37</c:v>
                </c:pt>
                <c:pt idx="63">
                  <c:v>6</c:v>
                </c:pt>
                <c:pt idx="64">
                  <c:v>2</c:v>
                </c:pt>
                <c:pt idx="65">
                  <c:v>701</c:v>
                </c:pt>
                <c:pt idx="66">
                  <c:v>26</c:v>
                </c:pt>
                <c:pt idx="67">
                  <c:v>13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28</c:v>
                </c:pt>
                <c:pt idx="72">
                  <c:v>1</c:v>
                </c:pt>
                <c:pt idx="73">
                  <c:v>44</c:v>
                </c:pt>
                <c:pt idx="74">
                  <c:v>6</c:v>
                </c:pt>
                <c:pt idx="75">
                  <c:v>1104</c:v>
                </c:pt>
                <c:pt idx="76">
                  <c:v>1</c:v>
                </c:pt>
                <c:pt idx="77">
                  <c:v>35</c:v>
                </c:pt>
                <c:pt idx="78">
                  <c:v>62</c:v>
                </c:pt>
                <c:pt idx="79">
                  <c:v>404</c:v>
                </c:pt>
                <c:pt idx="80">
                  <c:v>333</c:v>
                </c:pt>
                <c:pt idx="81">
                  <c:v>799</c:v>
                </c:pt>
                <c:pt idx="82">
                  <c:v>15</c:v>
                </c:pt>
                <c:pt idx="83">
                  <c:v>2113</c:v>
                </c:pt>
                <c:pt idx="84">
                  <c:v>1</c:v>
                </c:pt>
                <c:pt idx="85">
                  <c:v>65</c:v>
                </c:pt>
                <c:pt idx="86">
                  <c:v>389</c:v>
                </c:pt>
                <c:pt idx="87">
                  <c:v>257</c:v>
                </c:pt>
                <c:pt idx="88">
                  <c:v>343</c:v>
                </c:pt>
                <c:pt idx="89">
                  <c:v>227</c:v>
                </c:pt>
                <c:pt idx="90">
                  <c:v>102</c:v>
                </c:pt>
                <c:pt idx="91">
                  <c:v>97</c:v>
                </c:pt>
                <c:pt idx="92">
                  <c:v>68</c:v>
                </c:pt>
                <c:pt idx="93">
                  <c:v>12</c:v>
                </c:pt>
                <c:pt idx="94">
                  <c:v>132</c:v>
                </c:pt>
                <c:pt idx="95">
                  <c:v>86</c:v>
                </c:pt>
                <c:pt idx="96">
                  <c:v>751</c:v>
                </c:pt>
                <c:pt idx="97">
                  <c:v>1</c:v>
                </c:pt>
                <c:pt idx="98">
                  <c:v>424</c:v>
                </c:pt>
                <c:pt idx="99">
                  <c:v>331</c:v>
                </c:pt>
                <c:pt idx="100">
                  <c:v>7</c:v>
                </c:pt>
                <c:pt idx="101">
                  <c:v>11</c:v>
                </c:pt>
                <c:pt idx="102">
                  <c:v>14</c:v>
                </c:pt>
                <c:pt idx="103">
                  <c:v>161</c:v>
                </c:pt>
                <c:pt idx="104">
                  <c:v>1024</c:v>
                </c:pt>
                <c:pt idx="105">
                  <c:v>4</c:v>
                </c:pt>
                <c:pt idx="106">
                  <c:v>242</c:v>
                </c:pt>
                <c:pt idx="107">
                  <c:v>2</c:v>
                </c:pt>
                <c:pt idx="108">
                  <c:v>28</c:v>
                </c:pt>
                <c:pt idx="109">
                  <c:v>233</c:v>
                </c:pt>
                <c:pt idx="110">
                  <c:v>30</c:v>
                </c:pt>
                <c:pt idx="111">
                  <c:v>4</c:v>
                </c:pt>
                <c:pt idx="112">
                  <c:v>83</c:v>
                </c:pt>
                <c:pt idx="113">
                  <c:v>6</c:v>
                </c:pt>
                <c:pt idx="114">
                  <c:v>245</c:v>
                </c:pt>
                <c:pt idx="115">
                  <c:v>122</c:v>
                </c:pt>
                <c:pt idx="116">
                  <c:v>25</c:v>
                </c:pt>
                <c:pt idx="117">
                  <c:v>285</c:v>
                </c:pt>
                <c:pt idx="118">
                  <c:v>1</c:v>
                </c:pt>
                <c:pt idx="119">
                  <c:v>339</c:v>
                </c:pt>
                <c:pt idx="120">
                  <c:v>11</c:v>
                </c:pt>
                <c:pt idx="121">
                  <c:v>5</c:v>
                </c:pt>
                <c:pt idx="122">
                  <c:v>124</c:v>
                </c:pt>
                <c:pt idx="123">
                  <c:v>250</c:v>
                </c:pt>
                <c:pt idx="124">
                  <c:v>1</c:v>
                </c:pt>
                <c:pt idx="125">
                  <c:v>174</c:v>
                </c:pt>
                <c:pt idx="126">
                  <c:v>9</c:v>
                </c:pt>
                <c:pt idx="127">
                  <c:v>58</c:v>
                </c:pt>
                <c:pt idx="128">
                  <c:v>6</c:v>
                </c:pt>
                <c:pt idx="129">
                  <c:v>1623</c:v>
                </c:pt>
                <c:pt idx="130">
                  <c:v>7</c:v>
                </c:pt>
                <c:pt idx="131">
                  <c:v>6</c:v>
                </c:pt>
                <c:pt idx="132">
                  <c:v>51</c:v>
                </c:pt>
                <c:pt idx="133">
                  <c:v>15</c:v>
                </c:pt>
                <c:pt idx="134">
                  <c:v>21</c:v>
                </c:pt>
                <c:pt idx="135">
                  <c:v>9</c:v>
                </c:pt>
                <c:pt idx="136">
                  <c:v>142</c:v>
                </c:pt>
                <c:pt idx="137">
                  <c:v>2</c:v>
                </c:pt>
                <c:pt idx="138">
                  <c:v>5</c:v>
                </c:pt>
                <c:pt idx="139">
                  <c:v>192</c:v>
                </c:pt>
                <c:pt idx="140">
                  <c:v>359</c:v>
                </c:pt>
                <c:pt idx="141">
                  <c:v>275</c:v>
                </c:pt>
                <c:pt idx="142">
                  <c:v>289</c:v>
                </c:pt>
                <c:pt idx="143">
                  <c:v>289</c:v>
                </c:pt>
                <c:pt idx="144">
                  <c:v>11</c:v>
                </c:pt>
                <c:pt idx="145">
                  <c:v>72</c:v>
                </c:pt>
                <c:pt idx="146">
                  <c:v>591</c:v>
                </c:pt>
                <c:pt idx="147">
                  <c:v>22</c:v>
                </c:pt>
                <c:pt idx="148">
                  <c:v>18</c:v>
                </c:pt>
                <c:pt idx="149">
                  <c:v>12</c:v>
                </c:pt>
                <c:pt idx="150">
                  <c:v>2715</c:v>
                </c:pt>
                <c:pt idx="151">
                  <c:v>1437</c:v>
                </c:pt>
                <c:pt idx="152">
                  <c:v>5</c:v>
                </c:pt>
                <c:pt idx="153">
                  <c:v>361</c:v>
                </c:pt>
                <c:pt idx="154">
                  <c:v>238</c:v>
                </c:pt>
                <c:pt idx="155">
                  <c:v>5</c:v>
                </c:pt>
                <c:pt idx="156">
                  <c:v>1</c:v>
                </c:pt>
                <c:pt idx="157">
                  <c:v>1</c:v>
                </c:pt>
                <c:pt idx="158">
                  <c:v>50</c:v>
                </c:pt>
                <c:pt idx="159">
                  <c:v>2</c:v>
                </c:pt>
                <c:pt idx="160">
                  <c:v>27</c:v>
                </c:pt>
                <c:pt idx="161">
                  <c:v>1903</c:v>
                </c:pt>
                <c:pt idx="162">
                  <c:v>123</c:v>
                </c:pt>
                <c:pt idx="163">
                  <c:v>12515</c:v>
                </c:pt>
                <c:pt idx="164">
                  <c:v>88</c:v>
                </c:pt>
                <c:pt idx="165">
                  <c:v>27</c:v>
                </c:pt>
                <c:pt idx="166">
                  <c:v>268</c:v>
                </c:pt>
                <c:pt idx="167">
                  <c:v>165</c:v>
                </c:pt>
                <c:pt idx="168">
                  <c:v>768</c:v>
                </c:pt>
                <c:pt idx="169">
                  <c:v>741</c:v>
                </c:pt>
                <c:pt idx="170">
                  <c:v>308</c:v>
                </c:pt>
                <c:pt idx="171">
                  <c:v>9</c:v>
                </c:pt>
                <c:pt idx="172">
                  <c:v>2</c:v>
                </c:pt>
                <c:pt idx="173">
                  <c:v>2</c:v>
                </c:pt>
                <c:pt idx="174">
                  <c:v>895</c:v>
                </c:pt>
                <c:pt idx="175">
                  <c:v>198</c:v>
                </c:pt>
                <c:pt idx="176">
                  <c:v>1</c:v>
                </c:pt>
                <c:pt idx="177">
                  <c:v>164</c:v>
                </c:pt>
                <c:pt idx="178">
                  <c:v>23</c:v>
                </c:pt>
                <c:pt idx="179">
                  <c:v>40</c:v>
                </c:pt>
                <c:pt idx="180">
                  <c:v>7</c:v>
                </c:pt>
                <c:pt idx="181">
                  <c:v>46</c:v>
                </c:pt>
                <c:pt idx="182">
                  <c:v>18</c:v>
                </c:pt>
                <c:pt idx="183">
                  <c:v>1426</c:v>
                </c:pt>
                <c:pt idx="184">
                  <c:v>1</c:v>
                </c:pt>
                <c:pt idx="185">
                  <c:v>46</c:v>
                </c:pt>
                <c:pt idx="186">
                  <c:v>3</c:v>
                </c:pt>
                <c:pt idx="187">
                  <c:v>16</c:v>
                </c:pt>
                <c:pt idx="188">
                  <c:v>7</c:v>
                </c:pt>
                <c:pt idx="189">
                  <c:v>9</c:v>
                </c:pt>
                <c:pt idx="190">
                  <c:v>140</c:v>
                </c:pt>
                <c:pt idx="191">
                  <c:v>254</c:v>
                </c:pt>
                <c:pt idx="192">
                  <c:v>2</c:v>
                </c:pt>
                <c:pt idx="193">
                  <c:v>284</c:v>
                </c:pt>
                <c:pt idx="194">
                  <c:v>2</c:v>
                </c:pt>
                <c:pt idx="195">
                  <c:v>2117</c:v>
                </c:pt>
                <c:pt idx="196">
                  <c:v>7</c:v>
                </c:pt>
                <c:pt idx="197">
                  <c:v>123</c:v>
                </c:pt>
                <c:pt idx="198">
                  <c:v>3</c:v>
                </c:pt>
                <c:pt idx="199">
                  <c:v>3</c:v>
                </c:pt>
                <c:pt idx="200">
                  <c:v>196</c:v>
                </c:pt>
                <c:pt idx="201">
                  <c:v>138</c:v>
                </c:pt>
                <c:pt idx="202">
                  <c:v>57</c:v>
                </c:pt>
                <c:pt idx="203">
                  <c:v>7</c:v>
                </c:pt>
                <c:pt idx="204">
                  <c:v>54</c:v>
                </c:pt>
                <c:pt idx="205">
                  <c:v>22</c:v>
                </c:pt>
                <c:pt idx="206">
                  <c:v>1044</c:v>
                </c:pt>
                <c:pt idx="207">
                  <c:v>51</c:v>
                </c:pt>
                <c:pt idx="208">
                  <c:v>46</c:v>
                </c:pt>
                <c:pt idx="209">
                  <c:v>192</c:v>
                </c:pt>
                <c:pt idx="210">
                  <c:v>103</c:v>
                </c:pt>
                <c:pt idx="21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E-4AB7-A6B9-500B2A82E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018863"/>
        <c:axId val="1361004719"/>
      </c:scatterChart>
      <c:valAx>
        <c:axId val="1361018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Area (mi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04719"/>
        <c:crosses val="autoZero"/>
        <c:crossBetween val="midCat"/>
      </c:valAx>
      <c:valAx>
        <c:axId val="136100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Ev's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18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EV's</a:t>
            </a:r>
            <a:r>
              <a:rPr lang="en-US" baseline="0"/>
              <a:t> vs </a:t>
            </a:r>
            <a:r>
              <a:rPr lang="en-US"/>
              <a:t>County</a:t>
            </a:r>
            <a:r>
              <a:rPr lang="en-US" baseline="0"/>
              <a:t> Population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County_Table!$B$4:$B$40</c:f>
              <c:numCache>
                <c:formatCode>General</c:formatCode>
                <c:ptCount val="37"/>
                <c:pt idx="0">
                  <c:v>10040</c:v>
                </c:pt>
                <c:pt idx="1">
                  <c:v>8664</c:v>
                </c:pt>
                <c:pt idx="2">
                  <c:v>167522</c:v>
                </c:pt>
                <c:pt idx="3">
                  <c:v>45078</c:v>
                </c:pt>
                <c:pt idx="4">
                  <c:v>31749</c:v>
                </c:pt>
                <c:pt idx="5">
                  <c:v>258797</c:v>
                </c:pt>
                <c:pt idx="6">
                  <c:v>2442</c:v>
                </c:pt>
                <c:pt idx="7">
                  <c:v>62448</c:v>
                </c:pt>
                <c:pt idx="8">
                  <c:v>17956</c:v>
                </c:pt>
                <c:pt idx="9">
                  <c:v>1066</c:v>
                </c:pt>
                <c:pt idx="10">
                  <c:v>81678</c:v>
                </c:pt>
                <c:pt idx="11">
                  <c:v>1395</c:v>
                </c:pt>
                <c:pt idx="12">
                  <c:v>54231</c:v>
                </c:pt>
                <c:pt idx="13">
                  <c:v>45526</c:v>
                </c:pt>
                <c:pt idx="14">
                  <c:v>24705</c:v>
                </c:pt>
                <c:pt idx="15">
                  <c:v>9831</c:v>
                </c:pt>
                <c:pt idx="16">
                  <c:v>2030179</c:v>
                </c:pt>
                <c:pt idx="17">
                  <c:v>92468</c:v>
                </c:pt>
                <c:pt idx="18">
                  <c:v>25603</c:v>
                </c:pt>
                <c:pt idx="19">
                  <c:v>6938</c:v>
                </c:pt>
                <c:pt idx="20">
                  <c:v>32288</c:v>
                </c:pt>
                <c:pt idx="21">
                  <c:v>2622</c:v>
                </c:pt>
                <c:pt idx="22">
                  <c:v>10655</c:v>
                </c:pt>
                <c:pt idx="23">
                  <c:v>13233</c:v>
                </c:pt>
                <c:pt idx="24">
                  <c:v>7179</c:v>
                </c:pt>
                <c:pt idx="25">
                  <c:v>2199</c:v>
                </c:pt>
                <c:pt idx="26">
                  <c:v>460740</c:v>
                </c:pt>
                <c:pt idx="27">
                  <c:v>74829</c:v>
                </c:pt>
                <c:pt idx="28">
                  <c:v>2608</c:v>
                </c:pt>
                <c:pt idx="29">
                  <c:v>439181</c:v>
                </c:pt>
                <c:pt idx="30">
                  <c:v>367553</c:v>
                </c:pt>
                <c:pt idx="31">
                  <c:v>9143</c:v>
                </c:pt>
                <c:pt idx="32">
                  <c:v>143106</c:v>
                </c:pt>
                <c:pt idx="33">
                  <c:v>43753</c:v>
                </c:pt>
                <c:pt idx="34">
                  <c:v>134047</c:v>
                </c:pt>
                <c:pt idx="35">
                  <c:v>39252</c:v>
                </c:pt>
                <c:pt idx="36">
                  <c:v>164267</c:v>
                </c:pt>
              </c:numCache>
            </c:numRef>
          </c:xVal>
          <c:yVal>
            <c:numRef>
              <c:f>County_Table!$D$4:$D$40</c:f>
              <c:numCache>
                <c:formatCode>General</c:formatCode>
                <c:ptCount val="37"/>
                <c:pt idx="0">
                  <c:v>20</c:v>
                </c:pt>
                <c:pt idx="1">
                  <c:v>25</c:v>
                </c:pt>
                <c:pt idx="2">
                  <c:v>786</c:v>
                </c:pt>
                <c:pt idx="3">
                  <c:v>318</c:v>
                </c:pt>
                <c:pt idx="4">
                  <c:v>466</c:v>
                </c:pt>
                <c:pt idx="5">
                  <c:v>3330</c:v>
                </c:pt>
                <c:pt idx="6">
                  <c:v>8</c:v>
                </c:pt>
                <c:pt idx="7">
                  <c:v>298</c:v>
                </c:pt>
                <c:pt idx="8">
                  <c:v>92</c:v>
                </c:pt>
                <c:pt idx="9">
                  <c:v>5</c:v>
                </c:pt>
                <c:pt idx="10">
                  <c:v>150</c:v>
                </c:pt>
                <c:pt idx="11">
                  <c:v>5</c:v>
                </c:pt>
                <c:pt idx="12">
                  <c:v>156</c:v>
                </c:pt>
                <c:pt idx="13">
                  <c:v>251</c:v>
                </c:pt>
                <c:pt idx="14">
                  <c:v>276</c:v>
                </c:pt>
                <c:pt idx="15">
                  <c:v>275</c:v>
                </c:pt>
                <c:pt idx="16">
                  <c:v>35626</c:v>
                </c:pt>
                <c:pt idx="17">
                  <c:v>1828</c:v>
                </c:pt>
                <c:pt idx="18">
                  <c:v>138</c:v>
                </c:pt>
                <c:pt idx="19">
                  <c:v>91</c:v>
                </c:pt>
                <c:pt idx="20">
                  <c:v>201</c:v>
                </c:pt>
                <c:pt idx="21">
                  <c:v>7</c:v>
                </c:pt>
                <c:pt idx="22">
                  <c:v>165</c:v>
                </c:pt>
                <c:pt idx="23">
                  <c:v>31</c:v>
                </c:pt>
                <c:pt idx="24">
                  <c:v>32</c:v>
                </c:pt>
                <c:pt idx="25">
                  <c:v>11</c:v>
                </c:pt>
                <c:pt idx="26">
                  <c:v>3975</c:v>
                </c:pt>
                <c:pt idx="27">
                  <c:v>664</c:v>
                </c:pt>
                <c:pt idx="28">
                  <c:v>24</c:v>
                </c:pt>
                <c:pt idx="29">
                  <c:v>5319</c:v>
                </c:pt>
                <c:pt idx="30">
                  <c:v>1265</c:v>
                </c:pt>
                <c:pt idx="31">
                  <c:v>41</c:v>
                </c:pt>
                <c:pt idx="32">
                  <c:v>2433</c:v>
                </c:pt>
                <c:pt idx="33">
                  <c:v>440</c:v>
                </c:pt>
                <c:pt idx="34">
                  <c:v>1664</c:v>
                </c:pt>
                <c:pt idx="35">
                  <c:v>88</c:v>
                </c:pt>
                <c:pt idx="36">
                  <c:v>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8-4805-970A-E0E4EECC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664783"/>
        <c:axId val="1358676015"/>
      </c:scatterChart>
      <c:valAx>
        <c:axId val="135866478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76015"/>
        <c:crosses val="autoZero"/>
        <c:crossBetween val="midCat"/>
      </c:valAx>
      <c:valAx>
        <c:axId val="135867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64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EV's</a:t>
            </a:r>
            <a:r>
              <a:rPr lang="en-US" baseline="0"/>
              <a:t> vs </a:t>
            </a:r>
            <a:r>
              <a:rPr lang="en-US"/>
              <a:t>County</a:t>
            </a:r>
            <a:r>
              <a:rPr lang="en-US" baseline="0"/>
              <a:t>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County_Table!$C$4:$C$40</c:f>
              <c:numCache>
                <c:formatCode>General</c:formatCode>
                <c:ptCount val="37"/>
                <c:pt idx="0">
                  <c:v>5.51</c:v>
                </c:pt>
                <c:pt idx="1">
                  <c:v>3.0599999999999996</c:v>
                </c:pt>
                <c:pt idx="2">
                  <c:v>94.38</c:v>
                </c:pt>
                <c:pt idx="3">
                  <c:v>18.670000000000002</c:v>
                </c:pt>
                <c:pt idx="4">
                  <c:v>20.919999999999998</c:v>
                </c:pt>
                <c:pt idx="5">
                  <c:v>83.14</c:v>
                </c:pt>
                <c:pt idx="6">
                  <c:v>1.43</c:v>
                </c:pt>
                <c:pt idx="7">
                  <c:v>31.49</c:v>
                </c:pt>
                <c:pt idx="8">
                  <c:v>5.47</c:v>
                </c:pt>
                <c:pt idx="9">
                  <c:v>1.59</c:v>
                </c:pt>
                <c:pt idx="10">
                  <c:v>41.44</c:v>
                </c:pt>
                <c:pt idx="11">
                  <c:v>1.78</c:v>
                </c:pt>
                <c:pt idx="12">
                  <c:v>43.510000000000005</c:v>
                </c:pt>
                <c:pt idx="13">
                  <c:v>48.27</c:v>
                </c:pt>
                <c:pt idx="14">
                  <c:v>10.73</c:v>
                </c:pt>
                <c:pt idx="15">
                  <c:v>6.98</c:v>
                </c:pt>
                <c:pt idx="16">
                  <c:v>423.25</c:v>
                </c:pt>
                <c:pt idx="17">
                  <c:v>70.45</c:v>
                </c:pt>
                <c:pt idx="18">
                  <c:v>15.95</c:v>
                </c:pt>
                <c:pt idx="19">
                  <c:v>4.38</c:v>
                </c:pt>
                <c:pt idx="20">
                  <c:v>19.519999999999996</c:v>
                </c:pt>
                <c:pt idx="21">
                  <c:v>2.83</c:v>
                </c:pt>
                <c:pt idx="22">
                  <c:v>5.76</c:v>
                </c:pt>
                <c:pt idx="23">
                  <c:v>9.57</c:v>
                </c:pt>
                <c:pt idx="24">
                  <c:v>9.14</c:v>
                </c:pt>
                <c:pt idx="25">
                  <c:v>1.35</c:v>
                </c:pt>
                <c:pt idx="26">
                  <c:v>142.36000000000001</c:v>
                </c:pt>
                <c:pt idx="27">
                  <c:v>32.18</c:v>
                </c:pt>
                <c:pt idx="28">
                  <c:v>4.0600000000000005</c:v>
                </c:pt>
                <c:pt idx="29">
                  <c:v>125.72999999999998</c:v>
                </c:pt>
                <c:pt idx="30">
                  <c:v>133.4</c:v>
                </c:pt>
                <c:pt idx="31">
                  <c:v>7.07</c:v>
                </c:pt>
                <c:pt idx="32">
                  <c:v>57.04999999999999</c:v>
                </c:pt>
                <c:pt idx="33">
                  <c:v>17</c:v>
                </c:pt>
                <c:pt idx="34">
                  <c:v>48.49</c:v>
                </c:pt>
                <c:pt idx="35">
                  <c:v>15.89</c:v>
                </c:pt>
                <c:pt idx="36">
                  <c:v>60.809999999999995</c:v>
                </c:pt>
              </c:numCache>
            </c:numRef>
          </c:xVal>
          <c:yVal>
            <c:numRef>
              <c:f>County_Table!$D$4:$D$40</c:f>
              <c:numCache>
                <c:formatCode>General</c:formatCode>
                <c:ptCount val="37"/>
                <c:pt idx="0">
                  <c:v>20</c:v>
                </c:pt>
                <c:pt idx="1">
                  <c:v>25</c:v>
                </c:pt>
                <c:pt idx="2">
                  <c:v>786</c:v>
                </c:pt>
                <c:pt idx="3">
                  <c:v>318</c:v>
                </c:pt>
                <c:pt idx="4">
                  <c:v>466</c:v>
                </c:pt>
                <c:pt idx="5">
                  <c:v>3330</c:v>
                </c:pt>
                <c:pt idx="6">
                  <c:v>8</c:v>
                </c:pt>
                <c:pt idx="7">
                  <c:v>298</c:v>
                </c:pt>
                <c:pt idx="8">
                  <c:v>92</c:v>
                </c:pt>
                <c:pt idx="9">
                  <c:v>5</c:v>
                </c:pt>
                <c:pt idx="10">
                  <c:v>150</c:v>
                </c:pt>
                <c:pt idx="11">
                  <c:v>5</c:v>
                </c:pt>
                <c:pt idx="12">
                  <c:v>156</c:v>
                </c:pt>
                <c:pt idx="13">
                  <c:v>251</c:v>
                </c:pt>
                <c:pt idx="14">
                  <c:v>276</c:v>
                </c:pt>
                <c:pt idx="15">
                  <c:v>275</c:v>
                </c:pt>
                <c:pt idx="16">
                  <c:v>35626</c:v>
                </c:pt>
                <c:pt idx="17">
                  <c:v>1828</c:v>
                </c:pt>
                <c:pt idx="18">
                  <c:v>138</c:v>
                </c:pt>
                <c:pt idx="19">
                  <c:v>91</c:v>
                </c:pt>
                <c:pt idx="20">
                  <c:v>201</c:v>
                </c:pt>
                <c:pt idx="21">
                  <c:v>7</c:v>
                </c:pt>
                <c:pt idx="22">
                  <c:v>165</c:v>
                </c:pt>
                <c:pt idx="23">
                  <c:v>31</c:v>
                </c:pt>
                <c:pt idx="24">
                  <c:v>32</c:v>
                </c:pt>
                <c:pt idx="25">
                  <c:v>11</c:v>
                </c:pt>
                <c:pt idx="26">
                  <c:v>3975</c:v>
                </c:pt>
                <c:pt idx="27">
                  <c:v>664</c:v>
                </c:pt>
                <c:pt idx="28">
                  <c:v>24</c:v>
                </c:pt>
                <c:pt idx="29">
                  <c:v>5319</c:v>
                </c:pt>
                <c:pt idx="30">
                  <c:v>1265</c:v>
                </c:pt>
                <c:pt idx="31">
                  <c:v>41</c:v>
                </c:pt>
                <c:pt idx="32">
                  <c:v>2433</c:v>
                </c:pt>
                <c:pt idx="33">
                  <c:v>440</c:v>
                </c:pt>
                <c:pt idx="34">
                  <c:v>1664</c:v>
                </c:pt>
                <c:pt idx="35">
                  <c:v>88</c:v>
                </c:pt>
                <c:pt idx="36">
                  <c:v>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8-4425-A742-16EA8020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664783"/>
        <c:axId val="1358676015"/>
      </c:scatterChart>
      <c:valAx>
        <c:axId val="135866478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76015"/>
        <c:crosses val="autoZero"/>
        <c:crossBetween val="midCat"/>
      </c:valAx>
      <c:valAx>
        <c:axId val="135867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64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171450</xdr:rowOff>
    </xdr:from>
    <xdr:to>
      <xdr:col>16</xdr:col>
      <xdr:colOff>80963</xdr:colOff>
      <xdr:row>15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582ACA-D46B-40EF-A327-1B74F9D29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16</xdr:col>
      <xdr:colOff>71438</xdr:colOff>
      <xdr:row>32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CED38B-DFF5-41CF-8F2F-62CCD260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190500</xdr:rowOff>
    </xdr:from>
    <xdr:to>
      <xdr:col>12</xdr:col>
      <xdr:colOff>461962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079DD0-4A56-47BE-AF9B-A9D0216D9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12</xdr:col>
      <xdr:colOff>457200</xdr:colOff>
      <xdr:row>29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23D62D-F326-4AB1-A0C3-48243D652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FAB" refreshedDate="44233.614050694443" createdVersion="6" refreshedVersion="6" minRefreshableVersion="3" recordCount="212" xr:uid="{A4EDB5A4-3C4A-4B7A-B3DE-C4C6E0AA82CD}">
  <cacheSource type="worksheet">
    <worksheetSource ref="A4:G216" sheet="City_Table"/>
  </cacheSource>
  <cacheFields count="8">
    <cacheField name="Name" numFmtId="0">
      <sharedItems/>
    </cacheField>
    <cacheField name="Type of City" numFmtId="0">
      <sharedItems/>
    </cacheField>
    <cacheField name="County" numFmtId="0">
      <sharedItems count="37">
        <s v="Grays Harbor"/>
        <s v="Spokane"/>
        <s v="King"/>
        <s v="Skagit"/>
        <s v="Snohomish"/>
        <s v="Asotin"/>
        <s v="Kitsap"/>
        <s v="Clark"/>
        <s v="Whatcom"/>
        <s v="Benton"/>
        <s v="Klickitat"/>
        <s v="Pierce"/>
        <s v="Okanogan"/>
        <s v="Douglas"/>
        <s v="Chelan"/>
        <s v="Cowlitz"/>
        <s v="Lewis"/>
        <s v="Stevens"/>
        <s v="Kittitas"/>
        <s v="Whitman"/>
        <s v="Walla Walla"/>
        <s v="Franklin"/>
        <s v="Lincoln"/>
        <s v="Columbia"/>
        <s v="Grant"/>
        <s v="Clallam"/>
        <s v="Yakima"/>
        <s v="Pacific"/>
        <s v="Thurston"/>
        <s v="Island"/>
        <s v="Pend Oreille"/>
        <s v="Skamania"/>
        <s v="Adams"/>
        <s v="Garfield"/>
        <s v="Jefferson"/>
        <s v="Ferry"/>
        <s v="Mason"/>
      </sharedItems>
    </cacheField>
    <cacheField name="Population (2019)" numFmtId="3">
      <sharedItems containsSemiMixedTypes="0" containsString="0" containsNumber="1" containsInteger="1" minValue="193" maxValue="753675"/>
    </cacheField>
    <cacheField name="Area(mi2)" numFmtId="0">
      <sharedItems containsSemiMixedTypes="0" containsString="0" containsNumber="1" minValue="0.26" maxValue="83.84"/>
    </cacheField>
    <cacheField name="# EV's" numFmtId="0">
      <sharedItems containsSemiMixedTypes="0" containsString="0" containsNumber="1" containsInteger="1" minValue="1" maxValue="12515"/>
    </cacheField>
    <cacheField name="EV's Per Population" numFmtId="170">
      <sharedItems containsSemiMixedTypes="0" containsString="0" containsNumber="1" containsInteger="1" minValue="1" maxValue="3100"/>
    </cacheField>
    <cacheField name="Population Per Vehicle" numFmtId="0" formula="'Population (2019)' /'# EV''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s v="Aberdeen"/>
    <s v="First"/>
    <x v="0"/>
    <n v="16756"/>
    <n v="10.65"/>
    <n v="63"/>
    <n v="266"/>
  </r>
  <r>
    <s v="Airway Heights"/>
    <s v="Code"/>
    <x v="1"/>
    <n v="9485"/>
    <n v="5.12"/>
    <n v="8"/>
    <n v="1186"/>
  </r>
  <r>
    <s v="Algona"/>
    <s v="Code"/>
    <x v="2"/>
    <n v="3208"/>
    <n v="1.3"/>
    <n v="9"/>
    <n v="356"/>
  </r>
  <r>
    <s v="Anacortes"/>
    <s v="Code"/>
    <x v="3"/>
    <n v="17527"/>
    <n v="11.76"/>
    <n v="287"/>
    <n v="61"/>
  </r>
  <r>
    <s v="Arlington"/>
    <s v="Code"/>
    <x v="4"/>
    <n v="20523"/>
    <n v="9.3000000000000007"/>
    <n v="172"/>
    <n v="119"/>
  </r>
  <r>
    <s v="Asotin"/>
    <s v="Code"/>
    <x v="5"/>
    <n v="1289"/>
    <n v="1.05"/>
    <n v="4"/>
    <n v="322"/>
  </r>
  <r>
    <s v="Auburn"/>
    <s v="Code"/>
    <x v="2"/>
    <n v="81464"/>
    <n v="29.62"/>
    <n v="629"/>
    <n v="130"/>
  </r>
  <r>
    <s v="Bainbridge Island"/>
    <s v="Code"/>
    <x v="6"/>
    <n v="25298"/>
    <n v="27.61"/>
    <n v="746"/>
    <n v="34"/>
  </r>
  <r>
    <s v="Battle Ground"/>
    <s v="Code"/>
    <x v="7"/>
    <n v="21252"/>
    <n v="7.86"/>
    <n v="204"/>
    <n v="104"/>
  </r>
  <r>
    <s v="Bellevue"/>
    <s v="Code"/>
    <x v="2"/>
    <n v="148164"/>
    <n v="33.479999999999997"/>
    <n v="3492"/>
    <n v="42"/>
  </r>
  <r>
    <s v="Bellingham"/>
    <s v="First"/>
    <x v="8"/>
    <n v="92314"/>
    <n v="27.07"/>
    <n v="1218"/>
    <n v="76"/>
  </r>
  <r>
    <s v="Benton City"/>
    <s v="Code"/>
    <x v="9"/>
    <n v="3495"/>
    <n v="2.4300000000000002"/>
    <n v="24"/>
    <n v="146"/>
  </r>
  <r>
    <s v="Bingen"/>
    <s v="Code"/>
    <x v="10"/>
    <n v="742"/>
    <n v="0.62"/>
    <n v="24"/>
    <n v="31"/>
  </r>
  <r>
    <s v="Black Diamond"/>
    <s v="Code"/>
    <x v="2"/>
    <n v="4781"/>
    <n v="6.56"/>
    <n v="53"/>
    <n v="90"/>
  </r>
  <r>
    <s v="Blaine"/>
    <s v="Code"/>
    <x v="8"/>
    <n v="5607"/>
    <n v="5.63"/>
    <n v="173"/>
    <n v="32"/>
  </r>
  <r>
    <s v="Bonney Lake"/>
    <s v="Code"/>
    <x v="11"/>
    <n v="21148"/>
    <n v="7.94"/>
    <n v="246"/>
    <n v="86"/>
  </r>
  <r>
    <s v="Bothell"/>
    <s v="Code"/>
    <x v="2"/>
    <n v="47415"/>
    <n v="12.1"/>
    <n v="1757"/>
    <n v="27"/>
  </r>
  <r>
    <s v="Bremerton"/>
    <s v="First"/>
    <x v="6"/>
    <n v="41405"/>
    <n v="28.42"/>
    <n v="434"/>
    <n v="95"/>
  </r>
  <r>
    <s v="Brewster"/>
    <s v="Code"/>
    <x v="12"/>
    <n v="2357"/>
    <n v="1.19"/>
    <n v="3"/>
    <n v="786"/>
  </r>
  <r>
    <s v="Bridgeport"/>
    <s v="Code"/>
    <x v="13"/>
    <n v="2613"/>
    <n v="1.05"/>
    <n v="3"/>
    <n v="871"/>
  </r>
  <r>
    <s v="Brier"/>
    <s v="Code"/>
    <x v="4"/>
    <n v="6970"/>
    <n v="2.13"/>
    <n v="94"/>
    <n v="74"/>
  </r>
  <r>
    <s v="Buckley"/>
    <s v="Code"/>
    <x v="11"/>
    <n v="5058"/>
    <n v="3.87"/>
    <n v="74"/>
    <n v="68"/>
  </r>
  <r>
    <s v="Burien"/>
    <s v="Code"/>
    <x v="2"/>
    <n v="51500"/>
    <n v="10.06"/>
    <n v="307"/>
    <n v="168"/>
  </r>
  <r>
    <s v="Burlington"/>
    <s v="Code"/>
    <x v="3"/>
    <n v="9224"/>
    <n v="4.25"/>
    <n v="44"/>
    <n v="210"/>
  </r>
  <r>
    <s v="Camas"/>
    <s v="Code"/>
    <x v="7"/>
    <n v="24418"/>
    <n v="13.74"/>
    <n v="510"/>
    <n v="48"/>
  </r>
  <r>
    <s v="Carnation"/>
    <s v="Code"/>
    <x v="2"/>
    <n v="2282"/>
    <n v="1.1599999999999999"/>
    <n v="138"/>
    <n v="17"/>
  </r>
  <r>
    <s v="Cashmere"/>
    <s v="Code"/>
    <x v="14"/>
    <n v="3172"/>
    <n v="1.1100000000000001"/>
    <n v="22"/>
    <n v="144"/>
  </r>
  <r>
    <s v="Castle Rock"/>
    <s v="Code"/>
    <x v="15"/>
    <n v="2298"/>
    <n v="1.99"/>
    <n v="18"/>
    <n v="128"/>
  </r>
  <r>
    <s v="Centralia"/>
    <s v="Code"/>
    <x v="16"/>
    <n v="17745"/>
    <n v="7.49"/>
    <n v="75"/>
    <n v="237"/>
  </r>
  <r>
    <s v="Chehalis"/>
    <s v="Code"/>
    <x v="16"/>
    <n v="7654"/>
    <n v="5.53"/>
    <n v="75"/>
    <n v="102"/>
  </r>
  <r>
    <s v="Chelan"/>
    <s v="Code"/>
    <x v="14"/>
    <n v="4237"/>
    <n v="6.36"/>
    <n v="50"/>
    <n v="85"/>
  </r>
  <r>
    <s v="Cheney"/>
    <s v="Code"/>
    <x v="1"/>
    <n v="12522"/>
    <n v="4.3499999999999996"/>
    <n v="62"/>
    <n v="202"/>
  </r>
  <r>
    <s v="Chewelah"/>
    <s v="Code"/>
    <x v="17"/>
    <n v="2676"/>
    <n v="2.98"/>
    <n v="7"/>
    <n v="382"/>
  </r>
  <r>
    <s v="Clarkston"/>
    <s v="Code"/>
    <x v="5"/>
    <n v="7375"/>
    <n v="2.0099999999999998"/>
    <n v="21"/>
    <n v="351"/>
  </r>
  <r>
    <s v="Cle Elum"/>
    <s v="Code"/>
    <x v="18"/>
    <n v="2037"/>
    <n v="3.82"/>
    <n v="53"/>
    <n v="38"/>
  </r>
  <r>
    <s v="Clyde Hill"/>
    <s v="Code"/>
    <x v="2"/>
    <n v="3386"/>
    <n v="1.06"/>
    <n v="142"/>
    <n v="24"/>
  </r>
  <r>
    <s v="Colfax"/>
    <s v="Second"/>
    <x v="19"/>
    <n v="2872"/>
    <n v="3.79"/>
    <n v="6"/>
    <n v="479"/>
  </r>
  <r>
    <s v="College Place"/>
    <s v="Code"/>
    <x v="20"/>
    <n v="9317"/>
    <n v="2.68"/>
    <n v="21"/>
    <n v="444"/>
  </r>
  <r>
    <s v="Colville"/>
    <s v="Second"/>
    <x v="17"/>
    <n v="4832"/>
    <n v="2.97"/>
    <n v="19"/>
    <n v="254"/>
  </r>
  <r>
    <s v="Connell"/>
    <s v="Code"/>
    <x v="21"/>
    <n v="5545"/>
    <n v="7.87"/>
    <n v="3"/>
    <n v="1848"/>
  </r>
  <r>
    <s v="Cosmopolis"/>
    <s v="Code"/>
    <x v="0"/>
    <n v="1662"/>
    <n v="1.33"/>
    <n v="2"/>
    <n v="831"/>
  </r>
  <r>
    <s v="Covington"/>
    <s v="Code"/>
    <x v="2"/>
    <n v="21175"/>
    <n v="5.81"/>
    <n v="156"/>
    <n v="136"/>
  </r>
  <r>
    <s v="Davenport"/>
    <s v="Second"/>
    <x v="22"/>
    <n v="1744"/>
    <n v="1.82"/>
    <n v="5"/>
    <n v="349"/>
  </r>
  <r>
    <s v="Dayton"/>
    <s v="Code"/>
    <x v="23"/>
    <n v="2442"/>
    <n v="1.43"/>
    <n v="8"/>
    <n v="305"/>
  </r>
  <r>
    <s v="Deer Park"/>
    <s v="Code"/>
    <x v="1"/>
    <n v="4364"/>
    <n v="6.89"/>
    <n v="16"/>
    <n v="273"/>
  </r>
  <r>
    <s v="Des Moines"/>
    <s v="Code"/>
    <x v="2"/>
    <n v="32348"/>
    <n v="6.5"/>
    <n v="148"/>
    <n v="219"/>
  </r>
  <r>
    <s v="DuPont"/>
    <s v="Code"/>
    <x v="11"/>
    <n v="9516"/>
    <n v="5.86"/>
    <n v="64"/>
    <n v="149"/>
  </r>
  <r>
    <s v="Duvall"/>
    <s v="Code"/>
    <x v="2"/>
    <n v="8107"/>
    <n v="2.4500000000000002"/>
    <n v="245"/>
    <n v="33"/>
  </r>
  <r>
    <s v="East Wenatchee"/>
    <s v="Code"/>
    <x v="13"/>
    <n v="14219"/>
    <n v="3.8"/>
    <n v="88"/>
    <n v="162"/>
  </r>
  <r>
    <s v="Edgewood"/>
    <s v="Code"/>
    <x v="11"/>
    <n v="13053"/>
    <n v="8.41"/>
    <n v="90"/>
    <n v="145"/>
  </r>
  <r>
    <s v="Edmonds"/>
    <s v="Code"/>
    <x v="4"/>
    <n v="42605"/>
    <n v="8.9"/>
    <n v="774"/>
    <n v="55"/>
  </r>
  <r>
    <s v="Electric City"/>
    <s v="Code"/>
    <x v="24"/>
    <n v="1002"/>
    <n v="1.98"/>
    <n v="2"/>
    <n v="501"/>
  </r>
  <r>
    <s v="Ellensburg"/>
    <s v="Code"/>
    <x v="18"/>
    <n v="21111"/>
    <n v="7.03"/>
    <n v="83"/>
    <n v="254"/>
  </r>
  <r>
    <s v="Elma"/>
    <s v="Code"/>
    <x v="0"/>
    <n v="3351"/>
    <n v="1.89"/>
    <n v="27"/>
    <n v="124"/>
  </r>
  <r>
    <s v="Entiat"/>
    <s v="Code"/>
    <x v="14"/>
    <n v="1280"/>
    <n v="2.11"/>
    <n v="11"/>
    <n v="116"/>
  </r>
  <r>
    <s v="Enumclaw"/>
    <s v="Code"/>
    <x v="2"/>
    <n v="12190"/>
    <n v="5.16"/>
    <n v="117"/>
    <n v="104"/>
  </r>
  <r>
    <s v="Ephrata"/>
    <s v="Code"/>
    <x v="24"/>
    <n v="8136"/>
    <n v="10.09"/>
    <n v="22"/>
    <n v="370"/>
  </r>
  <r>
    <s v="Everett"/>
    <s v="First"/>
    <x v="4"/>
    <n v="111475"/>
    <n v="33.11"/>
    <n v="927"/>
    <n v="120"/>
  </r>
  <r>
    <s v="Everson"/>
    <s v="Code"/>
    <x v="8"/>
    <n v="2841"/>
    <n v="1.31"/>
    <n v="38"/>
    <n v="75"/>
  </r>
  <r>
    <s v="Federal Way"/>
    <s v="Code"/>
    <x v="2"/>
    <n v="96289"/>
    <n v="22.27"/>
    <n v="460"/>
    <n v="209"/>
  </r>
  <r>
    <s v="Ferndale"/>
    <s v="Code"/>
    <x v="8"/>
    <n v="14897"/>
    <n v="7.03"/>
    <n v="137"/>
    <n v="109"/>
  </r>
  <r>
    <s v="Fife"/>
    <s v="Code"/>
    <x v="11"/>
    <n v="10184"/>
    <n v="5.69"/>
    <n v="33"/>
    <n v="309"/>
  </r>
  <r>
    <s v="Fircrest"/>
    <s v="Code"/>
    <x v="11"/>
    <n v="6835"/>
    <n v="1.58"/>
    <n v="37"/>
    <n v="185"/>
  </r>
  <r>
    <s v="Forks"/>
    <s v="Code"/>
    <x v="25"/>
    <n v="3880"/>
    <n v="3.91"/>
    <n v="6"/>
    <n v="647"/>
  </r>
  <r>
    <s v="George"/>
    <s v="Code"/>
    <x v="24"/>
    <n v="516"/>
    <n v="1.33"/>
    <n v="2"/>
    <n v="258"/>
  </r>
  <r>
    <s v="Gig Harbor"/>
    <s v="Code"/>
    <x v="11"/>
    <n v="10717"/>
    <n v="5.95"/>
    <n v="701"/>
    <n v="15"/>
  </r>
  <r>
    <s v="Gold Bar"/>
    <s v="Code"/>
    <x v="4"/>
    <n v="2352"/>
    <n v="1.03"/>
    <n v="26"/>
    <n v="90"/>
  </r>
  <r>
    <s v="Goldendale"/>
    <s v="Code"/>
    <x v="10"/>
    <n v="3505"/>
    <n v="2.52"/>
    <n v="13"/>
    <n v="270"/>
  </r>
  <r>
    <s v="Grand Coulee"/>
    <s v="Code"/>
    <x v="24"/>
    <n v="1048"/>
    <n v="1.24"/>
    <n v="4"/>
    <n v="262"/>
  </r>
  <r>
    <s v="Grandview"/>
    <s v="Code"/>
    <x v="26"/>
    <n v="11078"/>
    <n v="6.23"/>
    <n v="10"/>
    <n v="1108"/>
  </r>
  <r>
    <s v="Granger"/>
    <s v="Code"/>
    <x v="26"/>
    <n v="3830"/>
    <n v="1.79"/>
    <n v="2"/>
    <n v="1915"/>
  </r>
  <r>
    <s v="Granite Falls"/>
    <s v="Code"/>
    <x v="4"/>
    <n v="4234"/>
    <n v="2.19"/>
    <n v="28"/>
    <n v="151"/>
  </r>
  <r>
    <s v="Harrington"/>
    <s v="Code"/>
    <x v="22"/>
    <n v="418"/>
    <n v="0.38"/>
    <n v="1"/>
    <n v="418"/>
  </r>
  <r>
    <s v="Hoquiam"/>
    <s v="Code"/>
    <x v="0"/>
    <n v="8655"/>
    <n v="9.08"/>
    <n v="44"/>
    <n v="197"/>
  </r>
  <r>
    <s v="Ilwaco"/>
    <s v="Code"/>
    <x v="27"/>
    <n v="991"/>
    <n v="2.1"/>
    <n v="6"/>
    <n v="165"/>
  </r>
  <r>
    <s v="Issaquah"/>
    <s v="Code"/>
    <x v="2"/>
    <n v="39509"/>
    <n v="11.41"/>
    <n v="1104"/>
    <n v="36"/>
  </r>
  <r>
    <s v="Kahlotus"/>
    <s v="Code"/>
    <x v="21"/>
    <n v="193"/>
    <n v="0.47"/>
    <n v="1"/>
    <n v="193"/>
  </r>
  <r>
    <s v="Kalama"/>
    <s v="Code"/>
    <x v="15"/>
    <n v="2798"/>
    <n v="2.77"/>
    <n v="35"/>
    <n v="80"/>
  </r>
  <r>
    <s v="Kelso"/>
    <s v="Code"/>
    <x v="15"/>
    <n v="12417"/>
    <n v="8.14"/>
    <n v="62"/>
    <n v="200"/>
  </r>
  <r>
    <s v="Kenmore"/>
    <s v="Code"/>
    <x v="2"/>
    <n v="23097"/>
    <n v="6.17"/>
    <n v="404"/>
    <n v="57"/>
  </r>
  <r>
    <s v="Kennewick"/>
    <s v="Code"/>
    <x v="9"/>
    <n v="84347"/>
    <n v="26.87"/>
    <n v="333"/>
    <n v="253"/>
  </r>
  <r>
    <s v="Kent"/>
    <s v="Code"/>
    <x v="2"/>
    <n v="132319"/>
    <n v="33.76"/>
    <n v="799"/>
    <n v="166"/>
  </r>
  <r>
    <s v="Kettle Falls"/>
    <s v="Code"/>
    <x v="17"/>
    <n v="1635"/>
    <n v="1.1200000000000001"/>
    <n v="15"/>
    <n v="109"/>
  </r>
  <r>
    <s v="Kirkland"/>
    <s v="Code"/>
    <x v="2"/>
    <n v="93010"/>
    <n v="17.82"/>
    <n v="2113"/>
    <n v="44"/>
  </r>
  <r>
    <s v="Kittitas"/>
    <s v="Code"/>
    <x v="18"/>
    <n v="1497"/>
    <n v="0.73"/>
    <n v="1"/>
    <n v="1497"/>
  </r>
  <r>
    <s v="La Center"/>
    <s v="Code"/>
    <x v="7"/>
    <n v="3404"/>
    <n v="2.21"/>
    <n v="65"/>
    <n v="52"/>
  </r>
  <r>
    <s v="Lacey"/>
    <s v="Code"/>
    <x v="28"/>
    <n v="52592"/>
    <n v="16.059999999999999"/>
    <n v="389"/>
    <n v="135"/>
  </r>
  <r>
    <s v="Lake Forest Park"/>
    <s v="Code"/>
    <x v="2"/>
    <n v="13504"/>
    <n v="3.53"/>
    <n v="257"/>
    <n v="53"/>
  </r>
  <r>
    <s v="Lake Stevens"/>
    <s v="Code"/>
    <x v="4"/>
    <n v="33911"/>
    <n v="8.8800000000000008"/>
    <n v="343"/>
    <n v="99"/>
  </r>
  <r>
    <s v="Lakewood"/>
    <s v="Code"/>
    <x v="11"/>
    <n v="61037"/>
    <n v="17.18"/>
    <n v="227"/>
    <n v="269"/>
  </r>
  <r>
    <s v="Langley"/>
    <s v="Code"/>
    <x v="29"/>
    <n v="1140"/>
    <n v="1.08"/>
    <n v="102"/>
    <n v="11"/>
  </r>
  <r>
    <s v="Leavenworth"/>
    <s v="Code"/>
    <x v="14"/>
    <n v="2029"/>
    <n v="1.23"/>
    <n v="97"/>
    <n v="21"/>
  </r>
  <r>
    <s v="Liberty Lake"/>
    <s v="Code"/>
    <x v="1"/>
    <n v="10956"/>
    <n v="6.14"/>
    <n v="68"/>
    <n v="161"/>
  </r>
  <r>
    <s v="Long Beach"/>
    <s v="Code"/>
    <x v="27"/>
    <n v="1496"/>
    <n v="1.35"/>
    <n v="12"/>
    <n v="125"/>
  </r>
  <r>
    <s v="Longview"/>
    <s v="Code"/>
    <x v="15"/>
    <n v="38440"/>
    <n v="14.54"/>
    <n v="132"/>
    <n v="291"/>
  </r>
  <r>
    <s v="Lynden"/>
    <s v="Code"/>
    <x v="8"/>
    <n v="15223"/>
    <n v="5.26"/>
    <n v="86"/>
    <n v="177"/>
  </r>
  <r>
    <s v="Lynnwood"/>
    <s v="Code"/>
    <x v="4"/>
    <n v="39141"/>
    <n v="7.85"/>
    <n v="751"/>
    <n v="52"/>
  </r>
  <r>
    <s v="Mabton"/>
    <s v="Code"/>
    <x v="26"/>
    <n v="2268"/>
    <n v="0.81"/>
    <n v="1"/>
    <n v="2268"/>
  </r>
  <r>
    <s v="Maple Valley"/>
    <s v="Code"/>
    <x v="2"/>
    <n v="27202"/>
    <n v="5.73"/>
    <n v="424"/>
    <n v="64"/>
  </r>
  <r>
    <s v="Marysville"/>
    <s v="Code"/>
    <x v="4"/>
    <n v="70298"/>
    <n v="20.69"/>
    <n v="331"/>
    <n v="212"/>
  </r>
  <r>
    <s v="Mattawa"/>
    <s v="Code"/>
    <x v="24"/>
    <n v="4758"/>
    <n v="0.74"/>
    <n v="7"/>
    <n v="680"/>
  </r>
  <r>
    <s v="McCleary"/>
    <s v="Code"/>
    <x v="0"/>
    <n v="1764"/>
    <n v="2.0499999999999998"/>
    <n v="11"/>
    <n v="160"/>
  </r>
  <r>
    <s v="Medical Lake"/>
    <s v="Code"/>
    <x v="1"/>
    <n v="4966"/>
    <n v="3.4"/>
    <n v="14"/>
    <n v="355"/>
  </r>
  <r>
    <s v="Medina"/>
    <s v="Code"/>
    <x v="2"/>
    <n v="3288"/>
    <n v="1.45"/>
    <n v="161"/>
    <n v="20"/>
  </r>
  <r>
    <s v="Mercer Island"/>
    <s v="Code"/>
    <x v="2"/>
    <n v="25894"/>
    <n v="6.32"/>
    <n v="1024"/>
    <n v="25"/>
  </r>
  <r>
    <s v="Mesa"/>
    <s v="Code"/>
    <x v="21"/>
    <n v="508"/>
    <n v="1.64"/>
    <n v="4"/>
    <n v="127"/>
  </r>
  <r>
    <s v="Mill Creek"/>
    <s v="Code"/>
    <x v="4"/>
    <n v="20897"/>
    <n v="4.66"/>
    <n v="242"/>
    <n v="86"/>
  </r>
  <r>
    <s v="Millwood"/>
    <s v="Code"/>
    <x v="1"/>
    <n v="1800"/>
    <n v="0.7"/>
    <n v="2"/>
    <n v="900"/>
  </r>
  <r>
    <s v="Milton"/>
    <s v="Code"/>
    <x v="11"/>
    <n v="8299"/>
    <n v="2.62"/>
    <n v="28"/>
    <n v="296"/>
  </r>
  <r>
    <s v="Monroe"/>
    <s v="Code"/>
    <x v="4"/>
    <n v="19776"/>
    <n v="6.05"/>
    <n v="233"/>
    <n v="85"/>
  </r>
  <r>
    <s v="Montesano"/>
    <s v="Code"/>
    <x v="0"/>
    <n v="4052"/>
    <n v="10.58"/>
    <n v="30"/>
    <n v="135"/>
  </r>
  <r>
    <s v="Morton"/>
    <s v="Code"/>
    <x v="16"/>
    <n v="1199"/>
    <n v="0.82"/>
    <n v="4"/>
    <n v="300"/>
  </r>
  <r>
    <s v="Moses Lake"/>
    <s v="Code"/>
    <x v="24"/>
    <n v="24086"/>
    <n v="17.84"/>
    <n v="83"/>
    <n v="290"/>
  </r>
  <r>
    <s v="Mossyrock"/>
    <s v="Code"/>
    <x v="16"/>
    <n v="820"/>
    <n v="0.68"/>
    <n v="6"/>
    <n v="137"/>
  </r>
  <r>
    <s v="Mount Vernon"/>
    <s v="Code"/>
    <x v="3"/>
    <n v="36006"/>
    <n v="12.24"/>
    <n v="245"/>
    <n v="147"/>
  </r>
  <r>
    <s v="Mountlake Terrace"/>
    <s v="Code"/>
    <x v="4"/>
    <n v="21338"/>
    <n v="4.0599999999999996"/>
    <n v="122"/>
    <n v="175"/>
  </r>
  <r>
    <s v="Moxee"/>
    <s v="Code"/>
    <x v="26"/>
    <n v="4104"/>
    <n v="2.2000000000000002"/>
    <n v="25"/>
    <n v="164"/>
  </r>
  <r>
    <s v="Mukilteo"/>
    <s v="Code"/>
    <x v="4"/>
    <n v="21441"/>
    <n v="6.34"/>
    <n v="285"/>
    <n v="75"/>
  </r>
  <r>
    <s v="Napavine"/>
    <s v="Code"/>
    <x v="16"/>
    <n v="2001"/>
    <n v="2.38"/>
    <n v="1"/>
    <n v="2001"/>
  </r>
  <r>
    <s v="Newcastle"/>
    <s v="Code"/>
    <x v="2"/>
    <n v="12292"/>
    <n v="4.45"/>
    <n v="339"/>
    <n v="36"/>
  </r>
  <r>
    <s v="Newport"/>
    <s v="Code"/>
    <x v="30"/>
    <n v="2199"/>
    <n v="1.35"/>
    <n v="11"/>
    <n v="200"/>
  </r>
  <r>
    <s v="Nooksack"/>
    <s v="Code"/>
    <x v="8"/>
    <n v="1631"/>
    <n v="0.71"/>
    <n v="5"/>
    <n v="326"/>
  </r>
  <r>
    <s v="Normandy Park"/>
    <s v="Code"/>
    <x v="2"/>
    <n v="6604"/>
    <n v="2.52"/>
    <n v="124"/>
    <n v="53"/>
  </r>
  <r>
    <s v="North Bend"/>
    <s v="Code"/>
    <x v="2"/>
    <n v="7423"/>
    <n v="4.37"/>
    <n v="250"/>
    <n v="30"/>
  </r>
  <r>
    <s v="North Bonneville"/>
    <s v="Code"/>
    <x v="31"/>
    <n v="1007"/>
    <n v="2.41"/>
    <n v="1"/>
    <n v="1007"/>
  </r>
  <r>
    <s v="Oak Harbor"/>
    <s v="Code"/>
    <x v="29"/>
    <n v="23565"/>
    <n v="9.65"/>
    <n v="174"/>
    <n v="135"/>
  </r>
  <r>
    <s v="Oakville"/>
    <s v="Code"/>
    <x v="0"/>
    <n v="692"/>
    <n v="0.5"/>
    <n v="9"/>
    <n v="77"/>
  </r>
  <r>
    <s v="Ocean Shores"/>
    <s v="Code"/>
    <x v="0"/>
    <n v="6494"/>
    <n v="8.51"/>
    <n v="58"/>
    <n v="112"/>
  </r>
  <r>
    <s v="Okanogan"/>
    <s v="Code"/>
    <x v="12"/>
    <n v="2588"/>
    <n v="1.99"/>
    <n v="6"/>
    <n v="431"/>
  </r>
  <r>
    <s v="Olympia"/>
    <s v="Code"/>
    <x v="28"/>
    <n v="52882"/>
    <n v="17.82"/>
    <n v="1623"/>
    <n v="33"/>
  </r>
  <r>
    <s v="Omak"/>
    <s v="Code"/>
    <x v="12"/>
    <n v="4778"/>
    <n v="3.46"/>
    <n v="7"/>
    <n v="683"/>
  </r>
  <r>
    <s v="Oroville"/>
    <s v="Code"/>
    <x v="12"/>
    <n v="1675"/>
    <n v="1.64"/>
    <n v="6"/>
    <n v="279"/>
  </r>
  <r>
    <s v="Orting"/>
    <s v="Code"/>
    <x v="11"/>
    <n v="8610"/>
    <n v="2.73"/>
    <n v="51"/>
    <n v="169"/>
  </r>
  <r>
    <s v="Othello"/>
    <s v="Code"/>
    <x v="32"/>
    <n v="8386"/>
    <n v="3.81"/>
    <n v="15"/>
    <n v="559"/>
  </r>
  <r>
    <s v="Pacific"/>
    <s v="Code"/>
    <x v="2"/>
    <n v="7178"/>
    <n v="2.41"/>
    <n v="21"/>
    <n v="342"/>
  </r>
  <r>
    <s v="Palouse"/>
    <s v="Second"/>
    <x v="19"/>
    <n v="1075"/>
    <n v="1.08"/>
    <n v="9"/>
    <n v="119"/>
  </r>
  <r>
    <s v="Pasco"/>
    <s v="Code"/>
    <x v="21"/>
    <n v="75432"/>
    <n v="31.46"/>
    <n v="142"/>
    <n v="531"/>
  </r>
  <r>
    <s v="Pateros"/>
    <s v="Code"/>
    <x v="12"/>
    <n v="714"/>
    <n v="0.49"/>
    <n v="2"/>
    <n v="357"/>
  </r>
  <r>
    <s v="Pomeroy"/>
    <s v="Code"/>
    <x v="33"/>
    <n v="1395"/>
    <n v="1.78"/>
    <n v="5"/>
    <n v="279"/>
  </r>
  <r>
    <s v="Port Angeles"/>
    <s v="Code"/>
    <x v="25"/>
    <n v="20229"/>
    <n v="10.7"/>
    <n v="192"/>
    <n v="105"/>
  </r>
  <r>
    <s v="Port Orchard"/>
    <s v="Second"/>
    <x v="6"/>
    <n v="14597"/>
    <n v="9.68"/>
    <n v="359"/>
    <n v="41"/>
  </r>
  <r>
    <s v="Port Townsend"/>
    <s v="Code"/>
    <x v="34"/>
    <n v="9831"/>
    <n v="6.98"/>
    <n v="275"/>
    <n v="36"/>
  </r>
  <r>
    <s v="Poulsbo"/>
    <s v="Code"/>
    <x v="6"/>
    <n v="11168"/>
    <n v="4.74"/>
    <n v="289"/>
    <n v="39"/>
  </r>
  <r>
    <s v="Prescott"/>
    <s v="Code"/>
    <x v="20"/>
    <n v="305"/>
    <n v="0.4"/>
    <n v="289"/>
    <n v="1"/>
  </r>
  <r>
    <s v="Prosser"/>
    <s v="Code"/>
    <x v="9"/>
    <n v="6380"/>
    <n v="4.55"/>
    <n v="11"/>
    <n v="580"/>
  </r>
  <r>
    <s v="Pullman"/>
    <s v="Code"/>
    <x v="19"/>
    <n v="34506"/>
    <n v="9.8800000000000008"/>
    <n v="72"/>
    <n v="479"/>
  </r>
  <r>
    <s v="Puyallup"/>
    <s v="Code"/>
    <x v="11"/>
    <n v="42361"/>
    <n v="14.11"/>
    <n v="591"/>
    <n v="72"/>
  </r>
  <r>
    <s v="Quincy"/>
    <s v="Code"/>
    <x v="24"/>
    <n v="8033"/>
    <n v="4.9800000000000004"/>
    <n v="22"/>
    <n v="365"/>
  </r>
  <r>
    <s v="Rainier"/>
    <s v="Code"/>
    <x v="28"/>
    <n v="2287"/>
    <n v="1.73"/>
    <n v="18"/>
    <n v="127"/>
  </r>
  <r>
    <s v="Raymond"/>
    <s v="Code"/>
    <x v="27"/>
    <n v="2994"/>
    <n v="4.0599999999999996"/>
    <n v="12"/>
    <n v="250"/>
  </r>
  <r>
    <s v="Redmond"/>
    <s v="Code"/>
    <x v="2"/>
    <n v="71929"/>
    <n v="16.47"/>
    <n v="2715"/>
    <n v="26"/>
  </r>
  <r>
    <s v="Renton"/>
    <s v="Code"/>
    <x v="2"/>
    <n v="101751"/>
    <n v="23.37"/>
    <n v="1437"/>
    <n v="71"/>
  </r>
  <r>
    <s v="Republic"/>
    <s v="Code"/>
    <x v="35"/>
    <n v="1066"/>
    <n v="1.59"/>
    <n v="5"/>
    <n v="213"/>
  </r>
  <r>
    <s v="Richland"/>
    <s v="First"/>
    <x v="9"/>
    <n v="58225"/>
    <n v="38.56"/>
    <n v="361"/>
    <n v="161"/>
  </r>
  <r>
    <s v="Ridgefield"/>
    <s v="Code"/>
    <x v="7"/>
    <n v="9153"/>
    <n v="7.08"/>
    <n v="238"/>
    <n v="38"/>
  </r>
  <r>
    <s v="Ritzville"/>
    <s v="Second"/>
    <x v="32"/>
    <n v="1654"/>
    <n v="1.7"/>
    <n v="5"/>
    <n v="331"/>
  </r>
  <r>
    <s v="Rock Island"/>
    <s v="Code"/>
    <x v="13"/>
    <n v="1124"/>
    <n v="0.62"/>
    <n v="1"/>
    <n v="1124"/>
  </r>
  <r>
    <s v="Roslyn"/>
    <s v="Code"/>
    <x v="18"/>
    <n v="958"/>
    <n v="4.37"/>
    <n v="1"/>
    <n v="958"/>
  </r>
  <r>
    <s v="Roy"/>
    <s v="Code"/>
    <x v="11"/>
    <n v="822"/>
    <n v="0.49"/>
    <n v="50"/>
    <n v="16"/>
  </r>
  <r>
    <s v="Royal City"/>
    <s v="Code"/>
    <x v="24"/>
    <n v="2237"/>
    <n v="1.35"/>
    <n v="2"/>
    <n v="1119"/>
  </r>
  <r>
    <s v="Ruston"/>
    <s v="Code"/>
    <x v="11"/>
    <n v="845"/>
    <n v="0.26"/>
    <n v="27"/>
    <n v="31"/>
  </r>
  <r>
    <s v="Sammamish"/>
    <s v="Code"/>
    <x v="2"/>
    <n v="65892"/>
    <n v="18.41"/>
    <n v="1903"/>
    <n v="35"/>
  </r>
  <r>
    <s v="SeaTac"/>
    <s v="Code"/>
    <x v="2"/>
    <n v="29044"/>
    <n v="10.029999999999999"/>
    <n v="123"/>
    <n v="236"/>
  </r>
  <r>
    <s v="Seattle"/>
    <s v="First"/>
    <x v="2"/>
    <n v="753675"/>
    <n v="83.84"/>
    <n v="12515"/>
    <n v="60"/>
  </r>
  <r>
    <s v="Sedro-Woolley"/>
    <s v="Code"/>
    <x v="3"/>
    <n v="12072"/>
    <n v="3.93"/>
    <n v="88"/>
    <n v="137"/>
  </r>
  <r>
    <s v="Selah"/>
    <s v="Code"/>
    <x v="26"/>
    <n v="8087"/>
    <n v="4.51"/>
    <n v="27"/>
    <n v="300"/>
  </r>
  <r>
    <s v="Sequim"/>
    <s v="Code"/>
    <x v="25"/>
    <n v="7640"/>
    <n v="6.31"/>
    <n v="268"/>
    <n v="29"/>
  </r>
  <r>
    <s v="Shelton"/>
    <s v="Code"/>
    <x v="36"/>
    <n v="10655"/>
    <n v="5.76"/>
    <n v="165"/>
    <n v="65"/>
  </r>
  <r>
    <s v="Shoreline"/>
    <s v="Code"/>
    <x v="2"/>
    <n v="57027"/>
    <n v="11.67"/>
    <n v="768"/>
    <n v="74"/>
  </r>
  <r>
    <s v="Snohomish"/>
    <s v="Code"/>
    <x v="4"/>
    <n v="10154"/>
    <n v="3.46"/>
    <n v="741"/>
    <n v="14"/>
  </r>
  <r>
    <s v="Snoqualmie"/>
    <s v="Code"/>
    <x v="2"/>
    <n v="13622"/>
    <n v="7.22"/>
    <n v="308"/>
    <n v="44"/>
  </r>
  <r>
    <s v="Soap Lake"/>
    <s v="Code"/>
    <x v="24"/>
    <n v="1603"/>
    <n v="1.3"/>
    <n v="9"/>
    <n v="178"/>
  </r>
  <r>
    <s v="South Bend"/>
    <s v="Code"/>
    <x v="27"/>
    <n v="1698"/>
    <n v="1.63"/>
    <n v="2"/>
    <n v="849"/>
  </r>
  <r>
    <s v="Spangle"/>
    <s v="Code"/>
    <x v="1"/>
    <n v="319"/>
    <n v="0.36"/>
    <n v="2"/>
    <n v="160"/>
  </r>
  <r>
    <s v="Spokane"/>
    <s v="First"/>
    <x v="1"/>
    <n v="222081"/>
    <n v="68.73"/>
    <n v="895"/>
    <n v="248"/>
  </r>
  <r>
    <s v="Spokane Valley"/>
    <s v="Code"/>
    <x v="1"/>
    <n v="101060"/>
    <n v="37.71"/>
    <n v="198"/>
    <n v="510"/>
  </r>
  <r>
    <s v="Sprague"/>
    <s v="Code"/>
    <x v="22"/>
    <n v="460"/>
    <n v="0.63"/>
    <n v="1"/>
    <n v="460"/>
  </r>
  <r>
    <s v="Stanwood"/>
    <s v="Code"/>
    <x v="4"/>
    <n v="7287"/>
    <n v="2.82"/>
    <n v="164"/>
    <n v="44"/>
  </r>
  <r>
    <s v="Stevenson"/>
    <s v="Code"/>
    <x v="31"/>
    <n v="1601"/>
    <n v="1.65"/>
    <n v="23"/>
    <n v="70"/>
  </r>
  <r>
    <s v="Sultan"/>
    <s v="Code"/>
    <x v="4"/>
    <n v="5388"/>
    <n v="3.15"/>
    <n v="40"/>
    <n v="135"/>
  </r>
  <r>
    <s v="Sumas"/>
    <s v="Code"/>
    <x v="8"/>
    <n v="1534"/>
    <n v="1.48"/>
    <n v="7"/>
    <n v="219"/>
  </r>
  <r>
    <s v="Sumner"/>
    <s v="Code"/>
    <x v="11"/>
    <n v="10427"/>
    <n v="7.51"/>
    <n v="46"/>
    <n v="227"/>
  </r>
  <r>
    <s v="Sunnyside"/>
    <s v="Code"/>
    <x v="26"/>
    <n v="16796"/>
    <n v="6.63"/>
    <n v="18"/>
    <n v="933"/>
  </r>
  <r>
    <s v="Tacoma"/>
    <s v="First"/>
    <x v="11"/>
    <n v="217827"/>
    <n v="49.73"/>
    <n v="1426"/>
    <n v="153"/>
  </r>
  <r>
    <s v="Tekoa"/>
    <s v="Second"/>
    <x v="19"/>
    <n v="799"/>
    <n v="1.1399999999999999"/>
    <n v="1"/>
    <n v="799"/>
  </r>
  <r>
    <s v="Tenino"/>
    <s v="Code"/>
    <x v="28"/>
    <n v="1865"/>
    <n v="1.44"/>
    <n v="46"/>
    <n v="41"/>
  </r>
  <r>
    <s v="Tieton"/>
    <s v="Code"/>
    <x v="26"/>
    <n v="1308"/>
    <n v="0.82"/>
    <n v="3"/>
    <n v="436"/>
  </r>
  <r>
    <s v="Toledo"/>
    <s v="Code"/>
    <x v="16"/>
    <n v="771"/>
    <n v="0.4"/>
    <n v="16"/>
    <n v="48"/>
  </r>
  <r>
    <s v="Tonasket"/>
    <s v="Code"/>
    <x v="12"/>
    <n v="1121"/>
    <n v="0.8"/>
    <n v="7"/>
    <n v="160"/>
  </r>
  <r>
    <s v="Toppenish"/>
    <s v="Code"/>
    <x v="26"/>
    <n v="8809"/>
    <n v="2.11"/>
    <n v="9"/>
    <n v="979"/>
  </r>
  <r>
    <s v="Tukwila"/>
    <s v="Code"/>
    <x v="2"/>
    <n v="20347"/>
    <n v="9.17"/>
    <n v="140"/>
    <n v="145"/>
  </r>
  <r>
    <s v="Tumwater"/>
    <s v="Code"/>
    <x v="28"/>
    <n v="24024"/>
    <n v="14.32"/>
    <n v="254"/>
    <n v="95"/>
  </r>
  <r>
    <s v="Union Gap"/>
    <s v="Code"/>
    <x v="26"/>
    <n v="6200"/>
    <n v="5.0599999999999996"/>
    <n v="2"/>
    <n v="3100"/>
  </r>
  <r>
    <s v="University Place"/>
    <s v="Code"/>
    <x v="11"/>
    <n v="34001"/>
    <n v="8.43"/>
    <n v="284"/>
    <n v="120"/>
  </r>
  <r>
    <s v="Vader"/>
    <s v="Code"/>
    <x v="16"/>
    <n v="670"/>
    <n v="0.93"/>
    <n v="2"/>
    <n v="335"/>
  </r>
  <r>
    <s v="Vancouver"/>
    <s v="First"/>
    <x v="7"/>
    <n v="184463"/>
    <n v="46.78"/>
    <n v="2117"/>
    <n v="87"/>
  </r>
  <r>
    <s v="Waitsburg"/>
    <s v="Unclassified"/>
    <x v="20"/>
    <n v="1231"/>
    <n v="1.1200000000000001"/>
    <n v="7"/>
    <n v="176"/>
  </r>
  <r>
    <s v="Walla Walla"/>
    <s v="Code"/>
    <x v="20"/>
    <n v="32900"/>
    <n v="12.8"/>
    <n v="123"/>
    <n v="267"/>
  </r>
  <r>
    <s v="Wapato"/>
    <s v="Second"/>
    <x v="26"/>
    <n v="5010"/>
    <n v="1.17"/>
    <n v="3"/>
    <n v="1670"/>
  </r>
  <r>
    <s v="Warden"/>
    <s v="Code"/>
    <x v="24"/>
    <n v="2812"/>
    <n v="2.66"/>
    <n v="3"/>
    <n v="937"/>
  </r>
  <r>
    <s v="Washougal"/>
    <s v="Code"/>
    <x v="7"/>
    <n v="16107"/>
    <n v="5.47"/>
    <n v="196"/>
    <n v="82"/>
  </r>
  <r>
    <s v="Wenatchee"/>
    <s v="Code"/>
    <x v="14"/>
    <n v="34360"/>
    <n v="7.86"/>
    <n v="138"/>
    <n v="249"/>
  </r>
  <r>
    <s v="West Richland"/>
    <s v="Code"/>
    <x v="9"/>
    <n v="15075"/>
    <n v="21.97"/>
    <n v="57"/>
    <n v="264"/>
  </r>
  <r>
    <s v="Westport"/>
    <s v="Code"/>
    <x v="0"/>
    <n v="2100"/>
    <n v="3.68"/>
    <n v="7"/>
    <n v="300"/>
  </r>
  <r>
    <s v="White Salmon"/>
    <s v="Code"/>
    <x v="10"/>
    <n v="2691"/>
    <n v="1.24"/>
    <n v="54"/>
    <n v="50"/>
  </r>
  <r>
    <s v="Winlock"/>
    <s v="Code"/>
    <x v="16"/>
    <n v="1428"/>
    <n v="1.29"/>
    <n v="22"/>
    <n v="65"/>
  </r>
  <r>
    <s v="Woodinville"/>
    <s v="Code"/>
    <x v="2"/>
    <n v="13263"/>
    <n v="5.6"/>
    <n v="1044"/>
    <n v="13"/>
  </r>
  <r>
    <s v="Woodland"/>
    <s v="Code"/>
    <x v="15"/>
    <n v="6495"/>
    <n v="4.05"/>
    <n v="51"/>
    <n v="127"/>
  </r>
  <r>
    <s v="Woodway"/>
    <s v="Code"/>
    <x v="4"/>
    <n v="1391"/>
    <n v="1.1100000000000001"/>
    <n v="46"/>
    <n v="30"/>
  </r>
  <r>
    <s v="Yakima"/>
    <s v="First"/>
    <x v="26"/>
    <n v="93637"/>
    <n v="27.63"/>
    <n v="192"/>
    <n v="488"/>
  </r>
  <r>
    <s v="Yelm"/>
    <s v="Code"/>
    <x v="28"/>
    <n v="9456"/>
    <n v="5.68"/>
    <n v="103"/>
    <n v="92"/>
  </r>
  <r>
    <s v="Zillah"/>
    <s v="Code"/>
    <x v="26"/>
    <n v="3140"/>
    <n v="1.85"/>
    <n v="9"/>
    <n v="3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74A46-3E9B-44E2-AE7F-6C2D3B480BAF}" name="PivotTable6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outline="1" outlineData="1" compactData="0" multipleFieldFilters="0">
  <location ref="A3:E41" firstHeaderRow="0" firstDataRow="1" firstDataCol="1"/>
  <pivotFields count="8">
    <pivotField compact="0" subtotalTop="0" showAll="0" insertBlankRow="1"/>
    <pivotField compact="0" subtotalTop="0" showAll="0" insertBlankRow="1"/>
    <pivotField axis="axisRow" compact="0" subtotalTop="0" showAll="0" insertBlankRow="1">
      <items count="38">
        <item x="32"/>
        <item x="5"/>
        <item x="9"/>
        <item x="14"/>
        <item x="25"/>
        <item x="7"/>
        <item x="23"/>
        <item x="15"/>
        <item x="13"/>
        <item x="35"/>
        <item x="21"/>
        <item x="33"/>
        <item x="24"/>
        <item x="0"/>
        <item x="29"/>
        <item x="34"/>
        <item x="2"/>
        <item x="6"/>
        <item x="18"/>
        <item x="10"/>
        <item x="16"/>
        <item x="22"/>
        <item x="36"/>
        <item x="12"/>
        <item x="27"/>
        <item x="30"/>
        <item x="11"/>
        <item x="3"/>
        <item x="31"/>
        <item x="4"/>
        <item x="1"/>
        <item x="17"/>
        <item x="28"/>
        <item x="20"/>
        <item x="8"/>
        <item x="19"/>
        <item x="26"/>
        <item t="default"/>
      </items>
    </pivotField>
    <pivotField dataField="1" compact="0" numFmtId="3" subtotalTop="0" showAll="0" insertBlankRow="1"/>
    <pivotField dataField="1" compact="0" subtotalTop="0" showAll="0" insertBlankRow="1"/>
    <pivotField dataField="1" compact="0" subtotalTop="0" showAll="0" insertBlankRow="1"/>
    <pivotField compact="0" numFmtId="170" subtotalTop="0" showAll="0" insertBlankRow="1"/>
    <pivotField dataField="1" compact="0" subtotalTop="0" dragToRow="0" dragToCol="0" dragToPage="0" showAll="0" insertBlankRow="1" defaultSubtotal="0"/>
  </pivotFields>
  <rowFields count="1">
    <field x="2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opulation (2019)" fld="3" baseField="0" baseItem="0"/>
    <dataField name="Sum of Area(mi2)" fld="4" baseField="0" baseItem="0"/>
    <dataField name="Sum of # EV's" fld="5" baseField="0" baseItem="0"/>
    <dataField name="Sum of Population Per Vehicle" fld="7" baseField="0" baseItem="0"/>
  </dataFields>
  <formats count="5">
    <format dxfId="4">
      <pivotArea fieldPosition="0">
        <references count="2">
          <reference field="4294967294" count="1" selected="0">
            <x v="3"/>
          </reference>
          <reference field="2" count="0"/>
        </references>
      </pivotArea>
    </format>
    <format dxfId="3">
      <pivotArea field="2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field="2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ED77-9908-468C-B6F7-72E571B13652}">
  <dimension ref="A1:G216"/>
  <sheetViews>
    <sheetView workbookViewId="0">
      <selection activeCell="D13" sqref="D13"/>
    </sheetView>
  </sheetViews>
  <sheetFormatPr defaultRowHeight="15.75" x14ac:dyDescent="0.25"/>
  <cols>
    <col min="1" max="1" width="20" customWidth="1"/>
    <col min="2" max="2" width="14.625" customWidth="1"/>
    <col min="3" max="3" width="16.875" customWidth="1"/>
    <col min="4" max="5" width="14.375" customWidth="1"/>
    <col min="6" max="6" width="16.625" customWidth="1"/>
    <col min="7" max="7" width="20.875" customWidth="1"/>
  </cols>
  <sheetData>
    <row r="1" spans="1:7" x14ac:dyDescent="0.25">
      <c r="E1" t="s">
        <v>719</v>
      </c>
      <c r="F1">
        <f>SUM(F5:F216)</f>
        <v>60805</v>
      </c>
    </row>
    <row r="3" spans="1:7" ht="16.5" thickBot="1" x14ac:dyDescent="0.3"/>
    <row r="4" spans="1:7" ht="33" x14ac:dyDescent="0.25">
      <c r="A4" s="3" t="s">
        <v>0</v>
      </c>
      <c r="B4" s="3" t="s">
        <v>715</v>
      </c>
      <c r="C4" s="3" t="s">
        <v>682</v>
      </c>
      <c r="D4" s="4" t="s">
        <v>717</v>
      </c>
      <c r="E4" s="4" t="s">
        <v>716</v>
      </c>
      <c r="F4" s="4" t="s">
        <v>718</v>
      </c>
      <c r="G4" s="4" t="s">
        <v>720</v>
      </c>
    </row>
    <row r="5" spans="1:7" ht="16.5" x14ac:dyDescent="0.25">
      <c r="A5" s="5" t="s">
        <v>1</v>
      </c>
      <c r="B5" s="6" t="s">
        <v>2</v>
      </c>
      <c r="C5" s="5" t="s">
        <v>3</v>
      </c>
      <c r="D5" s="7">
        <v>16756</v>
      </c>
      <c r="E5" s="8">
        <v>10.65</v>
      </c>
      <c r="F5">
        <v>63</v>
      </c>
      <c r="G5" s="10">
        <f>ROUND(D5/F5,0)</f>
        <v>266</v>
      </c>
    </row>
    <row r="6" spans="1:7" ht="16.5" x14ac:dyDescent="0.25">
      <c r="A6" s="5" t="s">
        <v>4</v>
      </c>
      <c r="B6" s="6" t="s">
        <v>5</v>
      </c>
      <c r="C6" s="5" t="s">
        <v>6</v>
      </c>
      <c r="D6" s="7">
        <v>9485</v>
      </c>
      <c r="E6" s="8">
        <v>5.12</v>
      </c>
      <c r="F6">
        <f>VLOOKUP(A6,City_Table,2)</f>
        <v>8</v>
      </c>
      <c r="G6" s="10">
        <f t="shared" ref="G6:G69" si="0">ROUND(D6/F6,0)</f>
        <v>1186</v>
      </c>
    </row>
    <row r="7" spans="1:7" ht="16.5" x14ac:dyDescent="0.25">
      <c r="A7" s="5" t="s">
        <v>7</v>
      </c>
      <c r="B7" s="6" t="s">
        <v>5</v>
      </c>
      <c r="C7" s="5" t="s">
        <v>8</v>
      </c>
      <c r="D7" s="7">
        <v>3208</v>
      </c>
      <c r="E7" s="8">
        <v>1.3</v>
      </c>
      <c r="F7">
        <f>VLOOKUP(A7,City_Table,2)</f>
        <v>9</v>
      </c>
      <c r="G7" s="10">
        <f t="shared" si="0"/>
        <v>356</v>
      </c>
    </row>
    <row r="8" spans="1:7" ht="16.5" x14ac:dyDescent="0.25">
      <c r="A8" s="5" t="s">
        <v>9</v>
      </c>
      <c r="B8" s="6" t="s">
        <v>5</v>
      </c>
      <c r="C8" s="5" t="s">
        <v>10</v>
      </c>
      <c r="D8" s="7">
        <v>17527</v>
      </c>
      <c r="E8" s="8">
        <v>11.76</v>
      </c>
      <c r="F8">
        <f>VLOOKUP(A8,City_Table,2)</f>
        <v>287</v>
      </c>
      <c r="G8" s="10">
        <f t="shared" si="0"/>
        <v>61</v>
      </c>
    </row>
    <row r="9" spans="1:7" ht="16.5" x14ac:dyDescent="0.25">
      <c r="A9" s="5" t="s">
        <v>11</v>
      </c>
      <c r="B9" s="6" t="s">
        <v>5</v>
      </c>
      <c r="C9" s="5" t="s">
        <v>12</v>
      </c>
      <c r="D9" s="7">
        <v>20523</v>
      </c>
      <c r="E9" s="8">
        <v>9.3000000000000007</v>
      </c>
      <c r="F9">
        <f>VLOOKUP(A9,City_Table,2)</f>
        <v>172</v>
      </c>
      <c r="G9" s="10">
        <f t="shared" si="0"/>
        <v>119</v>
      </c>
    </row>
    <row r="10" spans="1:7" ht="16.5" x14ac:dyDescent="0.25">
      <c r="A10" s="5" t="s">
        <v>13</v>
      </c>
      <c r="B10" s="6" t="s">
        <v>5</v>
      </c>
      <c r="C10" s="5" t="s">
        <v>13</v>
      </c>
      <c r="D10" s="7">
        <v>1289</v>
      </c>
      <c r="E10" s="8">
        <v>1.05</v>
      </c>
      <c r="F10">
        <f>VLOOKUP(A10,City_Table,2)</f>
        <v>4</v>
      </c>
      <c r="G10" s="10">
        <f t="shared" si="0"/>
        <v>322</v>
      </c>
    </row>
    <row r="11" spans="1:7" ht="15.75" customHeight="1" x14ac:dyDescent="0.25">
      <c r="A11" s="5" t="s">
        <v>14</v>
      </c>
      <c r="B11" s="6" t="s">
        <v>5</v>
      </c>
      <c r="C11" s="5" t="s">
        <v>8</v>
      </c>
      <c r="D11" s="7">
        <v>81464</v>
      </c>
      <c r="E11" s="8">
        <v>29.62</v>
      </c>
      <c r="F11">
        <f>VLOOKUP(A11,City_Table,2)</f>
        <v>629</v>
      </c>
      <c r="G11" s="10">
        <f t="shared" si="0"/>
        <v>130</v>
      </c>
    </row>
    <row r="12" spans="1:7" ht="16.5" x14ac:dyDescent="0.25">
      <c r="A12" s="5" t="s">
        <v>15</v>
      </c>
      <c r="B12" s="6" t="s">
        <v>5</v>
      </c>
      <c r="C12" s="5" t="s">
        <v>16</v>
      </c>
      <c r="D12" s="7">
        <v>25298</v>
      </c>
      <c r="E12" s="8">
        <v>27.61</v>
      </c>
      <c r="F12">
        <f>VLOOKUP(A12,City_Table,2)</f>
        <v>746</v>
      </c>
      <c r="G12" s="10">
        <f t="shared" si="0"/>
        <v>34</v>
      </c>
    </row>
    <row r="13" spans="1:7" ht="16.5" x14ac:dyDescent="0.25">
      <c r="A13" s="5" t="s">
        <v>17</v>
      </c>
      <c r="B13" s="6" t="s">
        <v>5</v>
      </c>
      <c r="C13" s="5" t="s">
        <v>18</v>
      </c>
      <c r="D13" s="7">
        <v>21252</v>
      </c>
      <c r="E13" s="8">
        <v>7.86</v>
      </c>
      <c r="F13">
        <f>VLOOKUP(A13,City_Table,2)</f>
        <v>204</v>
      </c>
      <c r="G13" s="10">
        <f t="shared" si="0"/>
        <v>104</v>
      </c>
    </row>
    <row r="14" spans="1:7" ht="16.5" x14ac:dyDescent="0.25">
      <c r="A14" s="5" t="s">
        <v>19</v>
      </c>
      <c r="B14" s="6" t="s">
        <v>5</v>
      </c>
      <c r="C14" s="5" t="s">
        <v>8</v>
      </c>
      <c r="D14" s="7">
        <v>148164</v>
      </c>
      <c r="E14" s="8">
        <v>33.479999999999997</v>
      </c>
      <c r="F14">
        <f>VLOOKUP(A14,City_Table,2)</f>
        <v>3492</v>
      </c>
      <c r="G14" s="10">
        <f t="shared" si="0"/>
        <v>42</v>
      </c>
    </row>
    <row r="15" spans="1:7" ht="16.5" x14ac:dyDescent="0.25">
      <c r="A15" s="5" t="s">
        <v>20</v>
      </c>
      <c r="B15" s="6" t="s">
        <v>2</v>
      </c>
      <c r="C15" s="5" t="s">
        <v>21</v>
      </c>
      <c r="D15" s="7">
        <v>92314</v>
      </c>
      <c r="E15" s="8">
        <v>27.07</v>
      </c>
      <c r="F15">
        <f>VLOOKUP(A15,City_Table,2)</f>
        <v>1218</v>
      </c>
      <c r="G15" s="10">
        <f t="shared" si="0"/>
        <v>76</v>
      </c>
    </row>
    <row r="16" spans="1:7" ht="16.5" x14ac:dyDescent="0.25">
      <c r="A16" s="5" t="s">
        <v>22</v>
      </c>
      <c r="B16" s="6" t="s">
        <v>5</v>
      </c>
      <c r="C16" s="5" t="s">
        <v>23</v>
      </c>
      <c r="D16" s="7">
        <v>3495</v>
      </c>
      <c r="E16" s="8">
        <v>2.4300000000000002</v>
      </c>
      <c r="F16">
        <f>VLOOKUP(A16,City_Table,2)</f>
        <v>24</v>
      </c>
      <c r="G16" s="10">
        <f t="shared" si="0"/>
        <v>146</v>
      </c>
    </row>
    <row r="17" spans="1:7" ht="16.5" x14ac:dyDescent="0.25">
      <c r="A17" s="5" t="s">
        <v>24</v>
      </c>
      <c r="B17" s="6" t="s">
        <v>5</v>
      </c>
      <c r="C17" s="5" t="s">
        <v>25</v>
      </c>
      <c r="D17" s="7">
        <v>742</v>
      </c>
      <c r="E17" s="8">
        <v>0.62</v>
      </c>
      <c r="F17">
        <f>VLOOKUP(A17,City_Table,2)</f>
        <v>24</v>
      </c>
      <c r="G17" s="10">
        <f t="shared" si="0"/>
        <v>31</v>
      </c>
    </row>
    <row r="18" spans="1:7" ht="16.5" x14ac:dyDescent="0.25">
      <c r="A18" s="5" t="s">
        <v>26</v>
      </c>
      <c r="B18" s="6" t="s">
        <v>5</v>
      </c>
      <c r="C18" s="5" t="s">
        <v>8</v>
      </c>
      <c r="D18" s="7">
        <v>4781</v>
      </c>
      <c r="E18" s="8">
        <v>6.56</v>
      </c>
      <c r="F18">
        <f>VLOOKUP(A18,City_Table,2)</f>
        <v>53</v>
      </c>
      <c r="G18" s="10">
        <f t="shared" si="0"/>
        <v>90</v>
      </c>
    </row>
    <row r="19" spans="1:7" ht="16.5" x14ac:dyDescent="0.25">
      <c r="A19" s="5" t="s">
        <v>27</v>
      </c>
      <c r="B19" s="6" t="s">
        <v>5</v>
      </c>
      <c r="C19" s="5" t="s">
        <v>21</v>
      </c>
      <c r="D19" s="7">
        <v>5607</v>
      </c>
      <c r="E19" s="8">
        <v>5.63</v>
      </c>
      <c r="F19">
        <f>VLOOKUP(A19,City_Table,2)</f>
        <v>173</v>
      </c>
      <c r="G19" s="10">
        <f t="shared" si="0"/>
        <v>32</v>
      </c>
    </row>
    <row r="20" spans="1:7" ht="16.5" x14ac:dyDescent="0.25">
      <c r="A20" s="5" t="s">
        <v>28</v>
      </c>
      <c r="B20" s="6" t="s">
        <v>5</v>
      </c>
      <c r="C20" s="5" t="s">
        <v>29</v>
      </c>
      <c r="D20" s="7">
        <v>21148</v>
      </c>
      <c r="E20" s="8">
        <v>7.94</v>
      </c>
      <c r="F20">
        <f>VLOOKUP(A20,City_Table,2)</f>
        <v>246</v>
      </c>
      <c r="G20" s="10">
        <f t="shared" si="0"/>
        <v>86</v>
      </c>
    </row>
    <row r="21" spans="1:7" ht="15.75" customHeight="1" x14ac:dyDescent="0.25">
      <c r="A21" s="5" t="s">
        <v>30</v>
      </c>
      <c r="B21" s="6" t="s">
        <v>5</v>
      </c>
      <c r="C21" s="5" t="s">
        <v>8</v>
      </c>
      <c r="D21" s="7">
        <v>47415</v>
      </c>
      <c r="E21" s="8">
        <v>12.1</v>
      </c>
      <c r="F21">
        <f>VLOOKUP(A21,City_Table,2)</f>
        <v>1757</v>
      </c>
      <c r="G21" s="10">
        <f t="shared" si="0"/>
        <v>27</v>
      </c>
    </row>
    <row r="22" spans="1:7" ht="16.5" x14ac:dyDescent="0.25">
      <c r="A22" s="5" t="s">
        <v>31</v>
      </c>
      <c r="B22" s="6" t="s">
        <v>2</v>
      </c>
      <c r="C22" s="5" t="s">
        <v>16</v>
      </c>
      <c r="D22" s="7">
        <v>41405</v>
      </c>
      <c r="E22" s="8">
        <v>28.42</v>
      </c>
      <c r="F22">
        <f>VLOOKUP(A22,City_Table,2)</f>
        <v>434</v>
      </c>
      <c r="G22" s="10">
        <f t="shared" si="0"/>
        <v>95</v>
      </c>
    </row>
    <row r="23" spans="1:7" ht="16.5" x14ac:dyDescent="0.25">
      <c r="A23" s="5" t="s">
        <v>32</v>
      </c>
      <c r="B23" s="6" t="s">
        <v>5</v>
      </c>
      <c r="C23" s="5" t="s">
        <v>33</v>
      </c>
      <c r="D23" s="7">
        <v>2357</v>
      </c>
      <c r="E23" s="8">
        <v>1.19</v>
      </c>
      <c r="F23">
        <f>VLOOKUP(A23,City_Table,2)</f>
        <v>3</v>
      </c>
      <c r="G23" s="10">
        <f t="shared" si="0"/>
        <v>786</v>
      </c>
    </row>
    <row r="24" spans="1:7" ht="16.5" x14ac:dyDescent="0.25">
      <c r="A24" s="5" t="s">
        <v>34</v>
      </c>
      <c r="B24" s="6" t="s">
        <v>5</v>
      </c>
      <c r="C24" s="5" t="s">
        <v>35</v>
      </c>
      <c r="D24" s="7">
        <v>2613</v>
      </c>
      <c r="E24" s="8">
        <v>1.05</v>
      </c>
      <c r="F24">
        <f>VLOOKUP(A24,City_Table,2)</f>
        <v>3</v>
      </c>
      <c r="G24" s="10">
        <f t="shared" si="0"/>
        <v>871</v>
      </c>
    </row>
    <row r="25" spans="1:7" ht="16.5" x14ac:dyDescent="0.25">
      <c r="A25" s="5" t="s">
        <v>36</v>
      </c>
      <c r="B25" s="6" t="s">
        <v>5</v>
      </c>
      <c r="C25" s="5" t="s">
        <v>12</v>
      </c>
      <c r="D25" s="7">
        <v>6970</v>
      </c>
      <c r="E25" s="8">
        <v>2.13</v>
      </c>
      <c r="F25">
        <f>VLOOKUP(A25,City_Table,2)</f>
        <v>94</v>
      </c>
      <c r="G25" s="10">
        <f t="shared" si="0"/>
        <v>74</v>
      </c>
    </row>
    <row r="26" spans="1:7" ht="16.5" x14ac:dyDescent="0.25">
      <c r="A26" s="5" t="s">
        <v>37</v>
      </c>
      <c r="B26" s="6" t="s">
        <v>5</v>
      </c>
      <c r="C26" s="5" t="s">
        <v>29</v>
      </c>
      <c r="D26" s="7">
        <v>5058</v>
      </c>
      <c r="E26" s="8">
        <v>3.87</v>
      </c>
      <c r="F26">
        <f>VLOOKUP(A26,City_Table,2)</f>
        <v>74</v>
      </c>
      <c r="G26" s="10">
        <f t="shared" si="0"/>
        <v>68</v>
      </c>
    </row>
    <row r="27" spans="1:7" ht="16.5" x14ac:dyDescent="0.25">
      <c r="A27" s="5" t="s">
        <v>38</v>
      </c>
      <c r="B27" s="6" t="s">
        <v>5</v>
      </c>
      <c r="C27" s="5" t="s">
        <v>8</v>
      </c>
      <c r="D27" s="7">
        <v>51500</v>
      </c>
      <c r="E27" s="8">
        <v>10.06</v>
      </c>
      <c r="F27">
        <f>VLOOKUP(A27,City_Table,2)</f>
        <v>307</v>
      </c>
      <c r="G27" s="10">
        <f t="shared" si="0"/>
        <v>168</v>
      </c>
    </row>
    <row r="28" spans="1:7" ht="16.5" x14ac:dyDescent="0.25">
      <c r="A28" s="5" t="s">
        <v>39</v>
      </c>
      <c r="B28" s="6" t="s">
        <v>5</v>
      </c>
      <c r="C28" s="5" t="s">
        <v>10</v>
      </c>
      <c r="D28" s="7">
        <v>9224</v>
      </c>
      <c r="E28" s="8">
        <v>4.25</v>
      </c>
      <c r="F28">
        <f>VLOOKUP(A28,City_Table,2)</f>
        <v>44</v>
      </c>
      <c r="G28" s="10">
        <f t="shared" si="0"/>
        <v>210</v>
      </c>
    </row>
    <row r="29" spans="1:7" ht="16.5" x14ac:dyDescent="0.25">
      <c r="A29" s="5" t="s">
        <v>40</v>
      </c>
      <c r="B29" s="6" t="s">
        <v>5</v>
      </c>
      <c r="C29" s="5" t="s">
        <v>18</v>
      </c>
      <c r="D29" s="7">
        <v>24418</v>
      </c>
      <c r="E29" s="8">
        <v>13.74</v>
      </c>
      <c r="F29">
        <f>VLOOKUP(A29,City_Table,2)</f>
        <v>510</v>
      </c>
      <c r="G29" s="10">
        <f t="shared" si="0"/>
        <v>48</v>
      </c>
    </row>
    <row r="30" spans="1:7" ht="16.5" x14ac:dyDescent="0.25">
      <c r="A30" s="5" t="s">
        <v>41</v>
      </c>
      <c r="B30" s="6" t="s">
        <v>5</v>
      </c>
      <c r="C30" s="5" t="s">
        <v>8</v>
      </c>
      <c r="D30" s="7">
        <v>2282</v>
      </c>
      <c r="E30" s="8">
        <v>1.1599999999999999</v>
      </c>
      <c r="F30">
        <f>VLOOKUP(A30,City_Table,2)</f>
        <v>138</v>
      </c>
      <c r="G30" s="10">
        <f t="shared" si="0"/>
        <v>17</v>
      </c>
    </row>
    <row r="31" spans="1:7" ht="16.5" x14ac:dyDescent="0.25">
      <c r="A31" s="5" t="s">
        <v>42</v>
      </c>
      <c r="B31" s="6" t="s">
        <v>5</v>
      </c>
      <c r="C31" s="5" t="s">
        <v>43</v>
      </c>
      <c r="D31" s="7">
        <v>3172</v>
      </c>
      <c r="E31" s="8">
        <v>1.1100000000000001</v>
      </c>
      <c r="F31">
        <f>VLOOKUP(A31,City_Table,2)</f>
        <v>22</v>
      </c>
      <c r="G31" s="10">
        <f t="shared" si="0"/>
        <v>144</v>
      </c>
    </row>
    <row r="32" spans="1:7" ht="16.5" x14ac:dyDescent="0.25">
      <c r="A32" s="5" t="s">
        <v>44</v>
      </c>
      <c r="B32" s="6" t="s">
        <v>5</v>
      </c>
      <c r="C32" s="5" t="s">
        <v>45</v>
      </c>
      <c r="D32" s="7">
        <v>2298</v>
      </c>
      <c r="E32" s="8">
        <v>1.99</v>
      </c>
      <c r="F32">
        <f>VLOOKUP(A32,City_Table,2)</f>
        <v>18</v>
      </c>
      <c r="G32" s="10">
        <f t="shared" si="0"/>
        <v>128</v>
      </c>
    </row>
    <row r="33" spans="1:7" ht="16.5" x14ac:dyDescent="0.25">
      <c r="A33" s="5" t="s">
        <v>46</v>
      </c>
      <c r="B33" s="6" t="s">
        <v>5</v>
      </c>
      <c r="C33" s="5" t="s">
        <v>47</v>
      </c>
      <c r="D33" s="7">
        <v>17745</v>
      </c>
      <c r="E33" s="8">
        <v>7.49</v>
      </c>
      <c r="F33">
        <f>VLOOKUP(A33,City_Table,2)</f>
        <v>75</v>
      </c>
      <c r="G33" s="10">
        <f t="shared" si="0"/>
        <v>237</v>
      </c>
    </row>
    <row r="34" spans="1:7" ht="16.5" x14ac:dyDescent="0.25">
      <c r="A34" s="5" t="s">
        <v>48</v>
      </c>
      <c r="B34" s="6" t="s">
        <v>5</v>
      </c>
      <c r="C34" s="5" t="s">
        <v>47</v>
      </c>
      <c r="D34" s="7">
        <v>7654</v>
      </c>
      <c r="E34" s="8">
        <v>5.53</v>
      </c>
      <c r="F34">
        <f>VLOOKUP(A34,City_Table,2)</f>
        <v>75</v>
      </c>
      <c r="G34" s="10">
        <f t="shared" si="0"/>
        <v>102</v>
      </c>
    </row>
    <row r="35" spans="1:7" ht="16.5" x14ac:dyDescent="0.25">
      <c r="A35" s="5" t="s">
        <v>43</v>
      </c>
      <c r="B35" s="6" t="s">
        <v>5</v>
      </c>
      <c r="C35" s="5" t="s">
        <v>43</v>
      </c>
      <c r="D35" s="7">
        <v>4237</v>
      </c>
      <c r="E35" s="8">
        <v>6.36</v>
      </c>
      <c r="F35">
        <f>VLOOKUP(A35,City_Table,2)</f>
        <v>50</v>
      </c>
      <c r="G35" s="10">
        <f t="shared" si="0"/>
        <v>85</v>
      </c>
    </row>
    <row r="36" spans="1:7" ht="16.5" x14ac:dyDescent="0.25">
      <c r="A36" s="5" t="s">
        <v>49</v>
      </c>
      <c r="B36" s="6" t="s">
        <v>5</v>
      </c>
      <c r="C36" s="5" t="s">
        <v>6</v>
      </c>
      <c r="D36" s="7">
        <v>12522</v>
      </c>
      <c r="E36" s="8">
        <v>4.3499999999999996</v>
      </c>
      <c r="F36">
        <f>VLOOKUP(A36,City_Table,2)</f>
        <v>62</v>
      </c>
      <c r="G36" s="10">
        <f t="shared" si="0"/>
        <v>202</v>
      </c>
    </row>
    <row r="37" spans="1:7" ht="16.5" x14ac:dyDescent="0.25">
      <c r="A37" s="5" t="s">
        <v>50</v>
      </c>
      <c r="B37" s="6" t="s">
        <v>5</v>
      </c>
      <c r="C37" s="5" t="s">
        <v>51</v>
      </c>
      <c r="D37" s="7">
        <v>2676</v>
      </c>
      <c r="E37" s="8">
        <v>2.98</v>
      </c>
      <c r="F37">
        <f>VLOOKUP(A37,City_Table,2)</f>
        <v>7</v>
      </c>
      <c r="G37" s="10">
        <f t="shared" si="0"/>
        <v>382</v>
      </c>
    </row>
    <row r="38" spans="1:7" ht="16.5" x14ac:dyDescent="0.25">
      <c r="A38" s="5" t="s">
        <v>52</v>
      </c>
      <c r="B38" s="6" t="s">
        <v>5</v>
      </c>
      <c r="C38" s="5" t="s">
        <v>13</v>
      </c>
      <c r="D38" s="7">
        <v>7375</v>
      </c>
      <c r="E38" s="8">
        <v>2.0099999999999998</v>
      </c>
      <c r="F38">
        <f>VLOOKUP(A38,City_Table,2)</f>
        <v>21</v>
      </c>
      <c r="G38" s="10">
        <f t="shared" si="0"/>
        <v>351</v>
      </c>
    </row>
    <row r="39" spans="1:7" ht="16.5" x14ac:dyDescent="0.25">
      <c r="A39" s="5" t="s">
        <v>53</v>
      </c>
      <c r="B39" s="6" t="s">
        <v>5</v>
      </c>
      <c r="C39" s="5" t="s">
        <v>54</v>
      </c>
      <c r="D39" s="7">
        <v>2037</v>
      </c>
      <c r="E39" s="8">
        <v>3.82</v>
      </c>
      <c r="F39">
        <f>VLOOKUP(A39,City_Table,2)</f>
        <v>53</v>
      </c>
      <c r="G39" s="10">
        <f t="shared" si="0"/>
        <v>38</v>
      </c>
    </row>
    <row r="40" spans="1:7" ht="16.5" x14ac:dyDescent="0.25">
      <c r="A40" s="5" t="s">
        <v>55</v>
      </c>
      <c r="B40" s="6" t="s">
        <v>5</v>
      </c>
      <c r="C40" s="5" t="s">
        <v>8</v>
      </c>
      <c r="D40" s="7">
        <v>3386</v>
      </c>
      <c r="E40" s="8">
        <v>1.06</v>
      </c>
      <c r="F40">
        <f>VLOOKUP(A40,City_Table,2)</f>
        <v>142</v>
      </c>
      <c r="G40" s="10">
        <f t="shared" si="0"/>
        <v>24</v>
      </c>
    </row>
    <row r="41" spans="1:7" ht="16.5" x14ac:dyDescent="0.25">
      <c r="A41" s="5" t="s">
        <v>56</v>
      </c>
      <c r="B41" s="6" t="s">
        <v>57</v>
      </c>
      <c r="C41" s="5" t="s">
        <v>58</v>
      </c>
      <c r="D41" s="7">
        <v>2872</v>
      </c>
      <c r="E41" s="8">
        <v>3.79</v>
      </c>
      <c r="F41">
        <f>VLOOKUP(A41,City_Table,2)</f>
        <v>6</v>
      </c>
      <c r="G41" s="10">
        <f t="shared" si="0"/>
        <v>479</v>
      </c>
    </row>
    <row r="42" spans="1:7" ht="16.5" x14ac:dyDescent="0.25">
      <c r="A42" s="5" t="s">
        <v>59</v>
      </c>
      <c r="B42" s="6" t="s">
        <v>5</v>
      </c>
      <c r="C42" s="5" t="s">
        <v>60</v>
      </c>
      <c r="D42" s="7">
        <v>9317</v>
      </c>
      <c r="E42" s="8">
        <v>2.68</v>
      </c>
      <c r="F42">
        <f>VLOOKUP(A42,City_Table,2)</f>
        <v>21</v>
      </c>
      <c r="G42" s="10">
        <f t="shared" si="0"/>
        <v>444</v>
      </c>
    </row>
    <row r="43" spans="1:7" ht="16.5" x14ac:dyDescent="0.25">
      <c r="A43" s="5" t="s">
        <v>61</v>
      </c>
      <c r="B43" s="6" t="s">
        <v>57</v>
      </c>
      <c r="C43" s="5" t="s">
        <v>51</v>
      </c>
      <c r="D43" s="7">
        <v>4832</v>
      </c>
      <c r="E43" s="8">
        <v>2.97</v>
      </c>
      <c r="F43">
        <f>VLOOKUP(A43,City_Table,2)</f>
        <v>19</v>
      </c>
      <c r="G43" s="10">
        <f t="shared" si="0"/>
        <v>254</v>
      </c>
    </row>
    <row r="44" spans="1:7" ht="16.5" x14ac:dyDescent="0.25">
      <c r="A44" s="5" t="s">
        <v>62</v>
      </c>
      <c r="B44" s="6" t="s">
        <v>5</v>
      </c>
      <c r="C44" s="5" t="s">
        <v>63</v>
      </c>
      <c r="D44" s="7">
        <v>5545</v>
      </c>
      <c r="E44" s="8">
        <v>7.87</v>
      </c>
      <c r="F44">
        <f>VLOOKUP(A44,City_Table,2)</f>
        <v>3</v>
      </c>
      <c r="G44" s="10">
        <f t="shared" si="0"/>
        <v>1848</v>
      </c>
    </row>
    <row r="45" spans="1:7" ht="16.5" x14ac:dyDescent="0.25">
      <c r="A45" s="5" t="s">
        <v>64</v>
      </c>
      <c r="B45" s="6" t="s">
        <v>5</v>
      </c>
      <c r="C45" s="5" t="s">
        <v>3</v>
      </c>
      <c r="D45" s="7">
        <v>1662</v>
      </c>
      <c r="E45" s="8">
        <v>1.33</v>
      </c>
      <c r="F45">
        <f>VLOOKUP(A45,City_Table,2)</f>
        <v>2</v>
      </c>
      <c r="G45" s="10">
        <f t="shared" si="0"/>
        <v>831</v>
      </c>
    </row>
    <row r="46" spans="1:7" ht="16.5" x14ac:dyDescent="0.25">
      <c r="A46" s="5" t="s">
        <v>65</v>
      </c>
      <c r="B46" s="6" t="s">
        <v>5</v>
      </c>
      <c r="C46" s="5" t="s">
        <v>8</v>
      </c>
      <c r="D46" s="7">
        <v>21175</v>
      </c>
      <c r="E46" s="8">
        <v>5.81</v>
      </c>
      <c r="F46">
        <f>VLOOKUP(A46,City_Table,2)</f>
        <v>156</v>
      </c>
      <c r="G46" s="10">
        <f t="shared" si="0"/>
        <v>136</v>
      </c>
    </row>
    <row r="47" spans="1:7" ht="16.5" x14ac:dyDescent="0.25">
      <c r="A47" s="5" t="s">
        <v>66</v>
      </c>
      <c r="B47" s="6" t="s">
        <v>57</v>
      </c>
      <c r="C47" s="5" t="s">
        <v>67</v>
      </c>
      <c r="D47" s="7">
        <v>1744</v>
      </c>
      <c r="E47" s="8">
        <v>1.82</v>
      </c>
      <c r="F47">
        <f>VLOOKUP(A47,City_Table,2)</f>
        <v>5</v>
      </c>
      <c r="G47" s="10">
        <f t="shared" si="0"/>
        <v>349</v>
      </c>
    </row>
    <row r="48" spans="1:7" ht="16.5" x14ac:dyDescent="0.25">
      <c r="A48" s="5" t="s">
        <v>68</v>
      </c>
      <c r="B48" s="6" t="s">
        <v>5</v>
      </c>
      <c r="C48" s="5" t="s">
        <v>69</v>
      </c>
      <c r="D48" s="7">
        <v>2442</v>
      </c>
      <c r="E48" s="8">
        <v>1.43</v>
      </c>
      <c r="F48">
        <f>VLOOKUP(A48,City_Table,2)</f>
        <v>8</v>
      </c>
      <c r="G48" s="10">
        <f t="shared" si="0"/>
        <v>305</v>
      </c>
    </row>
    <row r="49" spans="1:7" ht="16.5" x14ac:dyDescent="0.25">
      <c r="A49" s="5" t="s">
        <v>70</v>
      </c>
      <c r="B49" s="6" t="s">
        <v>5</v>
      </c>
      <c r="C49" s="5" t="s">
        <v>6</v>
      </c>
      <c r="D49" s="7">
        <v>4364</v>
      </c>
      <c r="E49" s="8">
        <v>6.89</v>
      </c>
      <c r="F49">
        <f>VLOOKUP(A49,City_Table,2)</f>
        <v>16</v>
      </c>
      <c r="G49" s="10">
        <f t="shared" si="0"/>
        <v>273</v>
      </c>
    </row>
    <row r="50" spans="1:7" ht="16.5" x14ac:dyDescent="0.25">
      <c r="A50" s="5" t="s">
        <v>71</v>
      </c>
      <c r="B50" s="6" t="s">
        <v>5</v>
      </c>
      <c r="C50" s="5" t="s">
        <v>8</v>
      </c>
      <c r="D50" s="7">
        <v>32348</v>
      </c>
      <c r="E50" s="8">
        <v>6.5</v>
      </c>
      <c r="F50">
        <f>VLOOKUP(A50,City_Table,2)</f>
        <v>148</v>
      </c>
      <c r="G50" s="10">
        <f t="shared" si="0"/>
        <v>219</v>
      </c>
    </row>
    <row r="51" spans="1:7" ht="16.5" x14ac:dyDescent="0.25">
      <c r="A51" s="5" t="s">
        <v>72</v>
      </c>
      <c r="B51" s="6" t="s">
        <v>5</v>
      </c>
      <c r="C51" s="5" t="s">
        <v>29</v>
      </c>
      <c r="D51" s="7">
        <v>9516</v>
      </c>
      <c r="E51" s="8">
        <v>5.86</v>
      </c>
      <c r="F51">
        <f>VLOOKUP(A51,City_Table,2)</f>
        <v>64</v>
      </c>
      <c r="G51" s="10">
        <f t="shared" si="0"/>
        <v>149</v>
      </c>
    </row>
    <row r="52" spans="1:7" ht="16.5" x14ac:dyDescent="0.25">
      <c r="A52" s="5" t="s">
        <v>73</v>
      </c>
      <c r="B52" s="6" t="s">
        <v>5</v>
      </c>
      <c r="C52" s="5" t="s">
        <v>8</v>
      </c>
      <c r="D52" s="7">
        <v>8107</v>
      </c>
      <c r="E52" s="8">
        <v>2.4500000000000002</v>
      </c>
      <c r="F52">
        <f>VLOOKUP(A52,City_Table,2)</f>
        <v>245</v>
      </c>
      <c r="G52" s="10">
        <f t="shared" si="0"/>
        <v>33</v>
      </c>
    </row>
    <row r="53" spans="1:7" ht="16.5" x14ac:dyDescent="0.25">
      <c r="A53" s="5" t="s">
        <v>74</v>
      </c>
      <c r="B53" s="6" t="s">
        <v>5</v>
      </c>
      <c r="C53" s="5" t="s">
        <v>35</v>
      </c>
      <c r="D53" s="7">
        <v>14219</v>
      </c>
      <c r="E53" s="8">
        <v>3.8</v>
      </c>
      <c r="F53">
        <f>VLOOKUP(A53,City_Table,2)</f>
        <v>88</v>
      </c>
      <c r="G53" s="10">
        <f t="shared" si="0"/>
        <v>162</v>
      </c>
    </row>
    <row r="54" spans="1:7" ht="16.5" x14ac:dyDescent="0.25">
      <c r="A54" s="5" t="s">
        <v>75</v>
      </c>
      <c r="B54" s="6" t="s">
        <v>5</v>
      </c>
      <c r="C54" s="5" t="s">
        <v>29</v>
      </c>
      <c r="D54" s="7">
        <v>13053</v>
      </c>
      <c r="E54" s="8">
        <v>8.41</v>
      </c>
      <c r="F54">
        <f>VLOOKUP(A54,City_Table,2)</f>
        <v>90</v>
      </c>
      <c r="G54" s="10">
        <f t="shared" si="0"/>
        <v>145</v>
      </c>
    </row>
    <row r="55" spans="1:7" ht="16.5" x14ac:dyDescent="0.25">
      <c r="A55" s="5" t="s">
        <v>76</v>
      </c>
      <c r="B55" s="6" t="s">
        <v>5</v>
      </c>
      <c r="C55" s="5" t="s">
        <v>12</v>
      </c>
      <c r="D55" s="7">
        <v>42605</v>
      </c>
      <c r="E55" s="8">
        <v>8.9</v>
      </c>
      <c r="F55">
        <f>VLOOKUP(A55,City_Table,2)</f>
        <v>774</v>
      </c>
      <c r="G55" s="10">
        <f t="shared" si="0"/>
        <v>55</v>
      </c>
    </row>
    <row r="56" spans="1:7" ht="16.5" x14ac:dyDescent="0.25">
      <c r="A56" s="5" t="s">
        <v>77</v>
      </c>
      <c r="B56" s="6" t="s">
        <v>5</v>
      </c>
      <c r="C56" s="5" t="s">
        <v>78</v>
      </c>
      <c r="D56" s="7">
        <v>1002</v>
      </c>
      <c r="E56" s="8">
        <v>1.98</v>
      </c>
      <c r="F56">
        <f>VLOOKUP(A56,City_Table,2)</f>
        <v>2</v>
      </c>
      <c r="G56" s="10">
        <f t="shared" si="0"/>
        <v>501</v>
      </c>
    </row>
    <row r="57" spans="1:7" ht="16.5" x14ac:dyDescent="0.25">
      <c r="A57" s="5" t="s">
        <v>79</v>
      </c>
      <c r="B57" s="6" t="s">
        <v>5</v>
      </c>
      <c r="C57" s="5" t="s">
        <v>54</v>
      </c>
      <c r="D57" s="7">
        <v>21111</v>
      </c>
      <c r="E57" s="8">
        <v>7.03</v>
      </c>
      <c r="F57">
        <f>VLOOKUP(A57,City_Table,2)</f>
        <v>83</v>
      </c>
      <c r="G57" s="10">
        <f t="shared" si="0"/>
        <v>254</v>
      </c>
    </row>
    <row r="58" spans="1:7" ht="16.5" x14ac:dyDescent="0.25">
      <c r="A58" s="5" t="s">
        <v>80</v>
      </c>
      <c r="B58" s="6" t="s">
        <v>5</v>
      </c>
      <c r="C58" s="5" t="s">
        <v>3</v>
      </c>
      <c r="D58" s="7">
        <v>3351</v>
      </c>
      <c r="E58" s="8">
        <v>1.89</v>
      </c>
      <c r="F58">
        <f>VLOOKUP(A58,City_Table,2)</f>
        <v>27</v>
      </c>
      <c r="G58" s="10">
        <f t="shared" si="0"/>
        <v>124</v>
      </c>
    </row>
    <row r="59" spans="1:7" ht="16.5" x14ac:dyDescent="0.25">
      <c r="A59" s="5" t="s">
        <v>81</v>
      </c>
      <c r="B59" s="6" t="s">
        <v>5</v>
      </c>
      <c r="C59" s="5" t="s">
        <v>43</v>
      </c>
      <c r="D59" s="7">
        <v>1280</v>
      </c>
      <c r="E59" s="8">
        <v>2.11</v>
      </c>
      <c r="F59">
        <f>VLOOKUP(A59,City_Table,2)</f>
        <v>11</v>
      </c>
      <c r="G59" s="10">
        <f t="shared" si="0"/>
        <v>116</v>
      </c>
    </row>
    <row r="60" spans="1:7" ht="15.75" customHeight="1" x14ac:dyDescent="0.25">
      <c r="A60" s="5" t="s">
        <v>82</v>
      </c>
      <c r="B60" s="6" t="s">
        <v>5</v>
      </c>
      <c r="C60" s="5" t="s">
        <v>8</v>
      </c>
      <c r="D60" s="7">
        <v>12190</v>
      </c>
      <c r="E60" s="8">
        <v>5.16</v>
      </c>
      <c r="F60">
        <f>VLOOKUP(A60,City_Table,2)</f>
        <v>117</v>
      </c>
      <c r="G60" s="10">
        <f t="shared" si="0"/>
        <v>104</v>
      </c>
    </row>
    <row r="61" spans="1:7" ht="16.5" x14ac:dyDescent="0.25">
      <c r="A61" s="5" t="s">
        <v>83</v>
      </c>
      <c r="B61" s="6" t="s">
        <v>5</v>
      </c>
      <c r="C61" s="5" t="s">
        <v>78</v>
      </c>
      <c r="D61" s="7">
        <v>8136</v>
      </c>
      <c r="E61" s="8">
        <v>10.09</v>
      </c>
      <c r="F61">
        <f>VLOOKUP(A61,City_Table,2)</f>
        <v>22</v>
      </c>
      <c r="G61" s="10">
        <f t="shared" si="0"/>
        <v>370</v>
      </c>
    </row>
    <row r="62" spans="1:7" ht="16.5" x14ac:dyDescent="0.25">
      <c r="A62" s="5" t="s">
        <v>84</v>
      </c>
      <c r="B62" s="6" t="s">
        <v>2</v>
      </c>
      <c r="C62" s="5" t="s">
        <v>12</v>
      </c>
      <c r="D62" s="7">
        <v>111475</v>
      </c>
      <c r="E62" s="8">
        <v>33.11</v>
      </c>
      <c r="F62">
        <f>VLOOKUP(A62,City_Table,2)</f>
        <v>927</v>
      </c>
      <c r="G62" s="10">
        <f t="shared" si="0"/>
        <v>120</v>
      </c>
    </row>
    <row r="63" spans="1:7" ht="16.5" x14ac:dyDescent="0.25">
      <c r="A63" s="5" t="s">
        <v>85</v>
      </c>
      <c r="B63" s="6" t="s">
        <v>5</v>
      </c>
      <c r="C63" s="5" t="s">
        <v>21</v>
      </c>
      <c r="D63" s="7">
        <v>2841</v>
      </c>
      <c r="E63" s="8">
        <v>1.31</v>
      </c>
      <c r="F63">
        <f>VLOOKUP(A63,City_Table,2)</f>
        <v>38</v>
      </c>
      <c r="G63" s="10">
        <f t="shared" si="0"/>
        <v>75</v>
      </c>
    </row>
    <row r="64" spans="1:7" ht="16.5" x14ac:dyDescent="0.25">
      <c r="A64" s="5" t="s">
        <v>86</v>
      </c>
      <c r="B64" s="6" t="s">
        <v>5</v>
      </c>
      <c r="C64" s="5" t="s">
        <v>8</v>
      </c>
      <c r="D64" s="7">
        <v>96289</v>
      </c>
      <c r="E64" s="8">
        <v>22.27</v>
      </c>
      <c r="F64">
        <f>VLOOKUP(A64,City_Table,2)</f>
        <v>460</v>
      </c>
      <c r="G64" s="10">
        <f t="shared" si="0"/>
        <v>209</v>
      </c>
    </row>
    <row r="65" spans="1:7" ht="16.5" x14ac:dyDescent="0.25">
      <c r="A65" s="5" t="s">
        <v>87</v>
      </c>
      <c r="B65" s="6" t="s">
        <v>5</v>
      </c>
      <c r="C65" s="5" t="s">
        <v>21</v>
      </c>
      <c r="D65" s="7">
        <v>14897</v>
      </c>
      <c r="E65" s="8">
        <v>7.03</v>
      </c>
      <c r="F65">
        <f>VLOOKUP(A65,City_Table,2)</f>
        <v>137</v>
      </c>
      <c r="G65" s="10">
        <f t="shared" si="0"/>
        <v>109</v>
      </c>
    </row>
    <row r="66" spans="1:7" ht="16.5" x14ac:dyDescent="0.25">
      <c r="A66" s="5" t="s">
        <v>88</v>
      </c>
      <c r="B66" s="6" t="s">
        <v>5</v>
      </c>
      <c r="C66" s="5" t="s">
        <v>29</v>
      </c>
      <c r="D66" s="7">
        <v>10184</v>
      </c>
      <c r="E66" s="8">
        <v>5.69</v>
      </c>
      <c r="F66">
        <f>VLOOKUP(A66,City_Table,2)</f>
        <v>33</v>
      </c>
      <c r="G66" s="10">
        <f t="shared" si="0"/>
        <v>309</v>
      </c>
    </row>
    <row r="67" spans="1:7" ht="16.5" x14ac:dyDescent="0.25">
      <c r="A67" s="5" t="s">
        <v>89</v>
      </c>
      <c r="B67" s="6" t="s">
        <v>5</v>
      </c>
      <c r="C67" s="5" t="s">
        <v>29</v>
      </c>
      <c r="D67" s="7">
        <v>6835</v>
      </c>
      <c r="E67" s="8">
        <v>1.58</v>
      </c>
      <c r="F67">
        <f>VLOOKUP(A67,City_Table,2)</f>
        <v>37</v>
      </c>
      <c r="G67" s="10">
        <f t="shared" si="0"/>
        <v>185</v>
      </c>
    </row>
    <row r="68" spans="1:7" ht="16.5" x14ac:dyDescent="0.25">
      <c r="A68" s="5" t="s">
        <v>90</v>
      </c>
      <c r="B68" s="6" t="s">
        <v>5</v>
      </c>
      <c r="C68" s="5" t="s">
        <v>91</v>
      </c>
      <c r="D68" s="7">
        <v>3880</v>
      </c>
      <c r="E68" s="8">
        <v>3.91</v>
      </c>
      <c r="F68">
        <f>VLOOKUP(A68,City_Table,2)</f>
        <v>6</v>
      </c>
      <c r="G68" s="10">
        <f t="shared" si="0"/>
        <v>647</v>
      </c>
    </row>
    <row r="69" spans="1:7" ht="16.5" x14ac:dyDescent="0.25">
      <c r="A69" s="5" t="s">
        <v>92</v>
      </c>
      <c r="B69" s="6" t="s">
        <v>5</v>
      </c>
      <c r="C69" s="5" t="s">
        <v>78</v>
      </c>
      <c r="D69" s="7">
        <v>516</v>
      </c>
      <c r="E69" s="8">
        <v>1.33</v>
      </c>
      <c r="F69">
        <f>VLOOKUP(A69,City_Table,2)</f>
        <v>2</v>
      </c>
      <c r="G69" s="10">
        <f t="shared" si="0"/>
        <v>258</v>
      </c>
    </row>
    <row r="70" spans="1:7" ht="16.5" x14ac:dyDescent="0.25">
      <c r="A70" s="5" t="s">
        <v>93</v>
      </c>
      <c r="B70" s="6" t="s">
        <v>5</v>
      </c>
      <c r="C70" s="5" t="s">
        <v>29</v>
      </c>
      <c r="D70" s="7">
        <v>10717</v>
      </c>
      <c r="E70" s="8">
        <v>5.95</v>
      </c>
      <c r="F70">
        <f>VLOOKUP(A70,City_Table,2)</f>
        <v>701</v>
      </c>
      <c r="G70" s="10">
        <f t="shared" ref="G70:G133" si="1">ROUND(D70/F70,0)</f>
        <v>15</v>
      </c>
    </row>
    <row r="71" spans="1:7" ht="16.5" x14ac:dyDescent="0.25">
      <c r="A71" s="5" t="s">
        <v>94</v>
      </c>
      <c r="B71" s="6" t="s">
        <v>5</v>
      </c>
      <c r="C71" s="5" t="s">
        <v>12</v>
      </c>
      <c r="D71" s="7">
        <v>2352</v>
      </c>
      <c r="E71" s="8">
        <v>1.03</v>
      </c>
      <c r="F71">
        <f>VLOOKUP(A71,City_Table,2)</f>
        <v>26</v>
      </c>
      <c r="G71" s="10">
        <f t="shared" si="1"/>
        <v>90</v>
      </c>
    </row>
    <row r="72" spans="1:7" ht="16.5" x14ac:dyDescent="0.25">
      <c r="A72" s="5" t="s">
        <v>95</v>
      </c>
      <c r="B72" s="6" t="s">
        <v>5</v>
      </c>
      <c r="C72" s="5" t="s">
        <v>25</v>
      </c>
      <c r="D72" s="7">
        <v>3505</v>
      </c>
      <c r="E72" s="8">
        <v>2.52</v>
      </c>
      <c r="F72">
        <f>VLOOKUP(A72,City_Table,2)</f>
        <v>13</v>
      </c>
      <c r="G72" s="10">
        <f t="shared" si="1"/>
        <v>270</v>
      </c>
    </row>
    <row r="73" spans="1:7" ht="16.5" x14ac:dyDescent="0.25">
      <c r="A73" s="5" t="s">
        <v>96</v>
      </c>
      <c r="B73" s="6" t="s">
        <v>5</v>
      </c>
      <c r="C73" s="5" t="s">
        <v>78</v>
      </c>
      <c r="D73" s="7">
        <v>1048</v>
      </c>
      <c r="E73" s="8">
        <v>1.24</v>
      </c>
      <c r="F73">
        <f>VLOOKUP(A73,City_Table,2)</f>
        <v>4</v>
      </c>
      <c r="G73" s="10">
        <f t="shared" si="1"/>
        <v>262</v>
      </c>
    </row>
    <row r="74" spans="1:7" ht="16.5" x14ac:dyDescent="0.25">
      <c r="A74" s="5" t="s">
        <v>97</v>
      </c>
      <c r="B74" s="6" t="s">
        <v>5</v>
      </c>
      <c r="C74" s="5" t="s">
        <v>98</v>
      </c>
      <c r="D74" s="7">
        <v>11078</v>
      </c>
      <c r="E74" s="8">
        <v>6.23</v>
      </c>
      <c r="F74">
        <f>VLOOKUP(A74,City_Table,2)</f>
        <v>10</v>
      </c>
      <c r="G74" s="10">
        <f t="shared" si="1"/>
        <v>1108</v>
      </c>
    </row>
    <row r="75" spans="1:7" ht="16.5" x14ac:dyDescent="0.25">
      <c r="A75" s="5" t="s">
        <v>99</v>
      </c>
      <c r="B75" s="6" t="s">
        <v>5</v>
      </c>
      <c r="C75" s="5" t="s">
        <v>98</v>
      </c>
      <c r="D75" s="7">
        <v>3830</v>
      </c>
      <c r="E75" s="8">
        <v>1.79</v>
      </c>
      <c r="F75">
        <f>VLOOKUP(A75,City_Table,2)</f>
        <v>2</v>
      </c>
      <c r="G75" s="10">
        <f t="shared" si="1"/>
        <v>1915</v>
      </c>
    </row>
    <row r="76" spans="1:7" ht="16.5" x14ac:dyDescent="0.25">
      <c r="A76" s="5" t="s">
        <v>100</v>
      </c>
      <c r="B76" s="6" t="s">
        <v>5</v>
      </c>
      <c r="C76" s="5" t="s">
        <v>12</v>
      </c>
      <c r="D76" s="7">
        <v>4234</v>
      </c>
      <c r="E76" s="8">
        <v>2.19</v>
      </c>
      <c r="F76">
        <f>VLOOKUP(A76,City_Table,2)</f>
        <v>28</v>
      </c>
      <c r="G76" s="10">
        <f t="shared" si="1"/>
        <v>151</v>
      </c>
    </row>
    <row r="77" spans="1:7" ht="16.5" x14ac:dyDescent="0.25">
      <c r="A77" s="5" t="s">
        <v>101</v>
      </c>
      <c r="B77" s="6" t="s">
        <v>5</v>
      </c>
      <c r="C77" s="5" t="s">
        <v>67</v>
      </c>
      <c r="D77" s="7">
        <v>418</v>
      </c>
      <c r="E77" s="8">
        <v>0.38</v>
      </c>
      <c r="F77">
        <f>VLOOKUP(A77,City_Table,2)</f>
        <v>1</v>
      </c>
      <c r="G77" s="10">
        <f t="shared" si="1"/>
        <v>418</v>
      </c>
    </row>
    <row r="78" spans="1:7" ht="16.5" x14ac:dyDescent="0.25">
      <c r="A78" s="5" t="s">
        <v>102</v>
      </c>
      <c r="B78" s="6" t="s">
        <v>5</v>
      </c>
      <c r="C78" s="5" t="s">
        <v>3</v>
      </c>
      <c r="D78" s="7">
        <v>8655</v>
      </c>
      <c r="E78" s="8">
        <v>9.08</v>
      </c>
      <c r="F78">
        <f>VLOOKUP(A78,City_Table,2)</f>
        <v>44</v>
      </c>
      <c r="G78" s="10">
        <f t="shared" si="1"/>
        <v>197</v>
      </c>
    </row>
    <row r="79" spans="1:7" ht="16.5" x14ac:dyDescent="0.25">
      <c r="A79" s="5" t="s">
        <v>103</v>
      </c>
      <c r="B79" s="6" t="s">
        <v>5</v>
      </c>
      <c r="C79" s="5" t="s">
        <v>104</v>
      </c>
      <c r="D79" s="7">
        <v>991</v>
      </c>
      <c r="E79" s="8">
        <v>2.1</v>
      </c>
      <c r="F79">
        <f>VLOOKUP(A79,City_Table,2)</f>
        <v>6</v>
      </c>
      <c r="G79" s="10">
        <f t="shared" si="1"/>
        <v>165</v>
      </c>
    </row>
    <row r="80" spans="1:7" ht="16.5" x14ac:dyDescent="0.25">
      <c r="A80" s="5" t="s">
        <v>105</v>
      </c>
      <c r="B80" s="6" t="s">
        <v>5</v>
      </c>
      <c r="C80" s="5" t="s">
        <v>8</v>
      </c>
      <c r="D80" s="7">
        <v>39509</v>
      </c>
      <c r="E80" s="8">
        <v>11.41</v>
      </c>
      <c r="F80">
        <f>VLOOKUP(A80,City_Table,2)</f>
        <v>1104</v>
      </c>
      <c r="G80" s="10">
        <f t="shared" si="1"/>
        <v>36</v>
      </c>
    </row>
    <row r="81" spans="1:7" ht="16.5" x14ac:dyDescent="0.25">
      <c r="A81" s="5" t="s">
        <v>106</v>
      </c>
      <c r="B81" s="6" t="s">
        <v>5</v>
      </c>
      <c r="C81" s="5" t="s">
        <v>63</v>
      </c>
      <c r="D81" s="7">
        <v>193</v>
      </c>
      <c r="E81" s="8">
        <v>0.47</v>
      </c>
      <c r="F81">
        <f>VLOOKUP(A81,City_Table,2)</f>
        <v>1</v>
      </c>
      <c r="G81" s="10">
        <f t="shared" si="1"/>
        <v>193</v>
      </c>
    </row>
    <row r="82" spans="1:7" ht="16.5" x14ac:dyDescent="0.25">
      <c r="A82" s="5" t="s">
        <v>107</v>
      </c>
      <c r="B82" s="6" t="s">
        <v>5</v>
      </c>
      <c r="C82" s="5" t="s">
        <v>45</v>
      </c>
      <c r="D82" s="7">
        <v>2798</v>
      </c>
      <c r="E82" s="8">
        <v>2.77</v>
      </c>
      <c r="F82">
        <f>VLOOKUP(A82,City_Table,2)</f>
        <v>35</v>
      </c>
      <c r="G82" s="10">
        <f t="shared" si="1"/>
        <v>80</v>
      </c>
    </row>
    <row r="83" spans="1:7" ht="16.5" x14ac:dyDescent="0.25">
      <c r="A83" s="5" t="s">
        <v>108</v>
      </c>
      <c r="B83" s="6" t="s">
        <v>5</v>
      </c>
      <c r="C83" s="5" t="s">
        <v>45</v>
      </c>
      <c r="D83" s="7">
        <v>12417</v>
      </c>
      <c r="E83" s="8">
        <v>8.14</v>
      </c>
      <c r="F83">
        <f>VLOOKUP(A83,City_Table,2)</f>
        <v>62</v>
      </c>
      <c r="G83" s="10">
        <f t="shared" si="1"/>
        <v>200</v>
      </c>
    </row>
    <row r="84" spans="1:7" ht="16.5" x14ac:dyDescent="0.25">
      <c r="A84" s="5" t="s">
        <v>109</v>
      </c>
      <c r="B84" s="6" t="s">
        <v>5</v>
      </c>
      <c r="C84" s="5" t="s">
        <v>8</v>
      </c>
      <c r="D84" s="7">
        <v>23097</v>
      </c>
      <c r="E84" s="8">
        <v>6.17</v>
      </c>
      <c r="F84">
        <f>VLOOKUP(A84,City_Table,2)</f>
        <v>404</v>
      </c>
      <c r="G84" s="10">
        <f t="shared" si="1"/>
        <v>57</v>
      </c>
    </row>
    <row r="85" spans="1:7" ht="16.5" x14ac:dyDescent="0.25">
      <c r="A85" s="5" t="s">
        <v>110</v>
      </c>
      <c r="B85" s="6" t="s">
        <v>5</v>
      </c>
      <c r="C85" s="5" t="s">
        <v>23</v>
      </c>
      <c r="D85" s="7">
        <v>84347</v>
      </c>
      <c r="E85" s="8">
        <v>26.87</v>
      </c>
      <c r="F85">
        <f>VLOOKUP(A85,City_Table,2)</f>
        <v>333</v>
      </c>
      <c r="G85" s="10">
        <f t="shared" si="1"/>
        <v>253</v>
      </c>
    </row>
    <row r="86" spans="1:7" ht="16.5" x14ac:dyDescent="0.25">
      <c r="A86" s="5" t="s">
        <v>111</v>
      </c>
      <c r="B86" s="6" t="s">
        <v>5</v>
      </c>
      <c r="C86" s="5" t="s">
        <v>8</v>
      </c>
      <c r="D86" s="7">
        <v>132319</v>
      </c>
      <c r="E86" s="8">
        <v>33.76</v>
      </c>
      <c r="F86">
        <f>VLOOKUP(A86,City_Table,2)</f>
        <v>799</v>
      </c>
      <c r="G86" s="10">
        <f t="shared" si="1"/>
        <v>166</v>
      </c>
    </row>
    <row r="87" spans="1:7" ht="16.5" x14ac:dyDescent="0.25">
      <c r="A87" s="5" t="s">
        <v>112</v>
      </c>
      <c r="B87" s="6" t="s">
        <v>5</v>
      </c>
      <c r="C87" s="5" t="s">
        <v>51</v>
      </c>
      <c r="D87" s="7">
        <v>1635</v>
      </c>
      <c r="E87" s="8">
        <v>1.1200000000000001</v>
      </c>
      <c r="F87">
        <f>VLOOKUP(A87,City_Table,2)</f>
        <v>15</v>
      </c>
      <c r="G87" s="10">
        <f t="shared" si="1"/>
        <v>109</v>
      </c>
    </row>
    <row r="88" spans="1:7" ht="16.5" x14ac:dyDescent="0.25">
      <c r="A88" s="5" t="s">
        <v>113</v>
      </c>
      <c r="B88" s="6" t="s">
        <v>5</v>
      </c>
      <c r="C88" s="5" t="s">
        <v>8</v>
      </c>
      <c r="D88" s="7">
        <v>93010</v>
      </c>
      <c r="E88" s="8">
        <v>17.82</v>
      </c>
      <c r="F88">
        <f>VLOOKUP(A88,City_Table,2)</f>
        <v>2113</v>
      </c>
      <c r="G88" s="10">
        <f t="shared" si="1"/>
        <v>44</v>
      </c>
    </row>
    <row r="89" spans="1:7" ht="16.5" x14ac:dyDescent="0.25">
      <c r="A89" s="5" t="s">
        <v>54</v>
      </c>
      <c r="B89" s="6" t="s">
        <v>5</v>
      </c>
      <c r="C89" s="5" t="s">
        <v>54</v>
      </c>
      <c r="D89" s="7">
        <v>1497</v>
      </c>
      <c r="E89" s="8">
        <v>0.73</v>
      </c>
      <c r="F89">
        <f>VLOOKUP(A89,City_Table,2)</f>
        <v>1</v>
      </c>
      <c r="G89" s="10">
        <f t="shared" si="1"/>
        <v>1497</v>
      </c>
    </row>
    <row r="90" spans="1:7" ht="16.5" x14ac:dyDescent="0.25">
      <c r="A90" s="5" t="s">
        <v>114</v>
      </c>
      <c r="B90" s="6" t="s">
        <v>5</v>
      </c>
      <c r="C90" s="5" t="s">
        <v>18</v>
      </c>
      <c r="D90" s="7">
        <v>3404</v>
      </c>
      <c r="E90" s="8">
        <v>2.21</v>
      </c>
      <c r="F90">
        <f>VLOOKUP(A90,City_Table,2)</f>
        <v>65</v>
      </c>
      <c r="G90" s="10">
        <f t="shared" si="1"/>
        <v>52</v>
      </c>
    </row>
    <row r="91" spans="1:7" ht="16.5" x14ac:dyDescent="0.25">
      <c r="A91" s="5" t="s">
        <v>115</v>
      </c>
      <c r="B91" s="6" t="s">
        <v>5</v>
      </c>
      <c r="C91" s="5" t="s">
        <v>116</v>
      </c>
      <c r="D91" s="7">
        <v>52592</v>
      </c>
      <c r="E91" s="8">
        <v>16.059999999999999</v>
      </c>
      <c r="F91">
        <f>VLOOKUP(A91,City_Table,2)</f>
        <v>389</v>
      </c>
      <c r="G91" s="10">
        <f t="shared" si="1"/>
        <v>135</v>
      </c>
    </row>
    <row r="92" spans="1:7" ht="16.5" x14ac:dyDescent="0.25">
      <c r="A92" s="5" t="s">
        <v>117</v>
      </c>
      <c r="B92" s="6" t="s">
        <v>5</v>
      </c>
      <c r="C92" s="5" t="s">
        <v>8</v>
      </c>
      <c r="D92" s="7">
        <v>13504</v>
      </c>
      <c r="E92" s="8">
        <v>3.53</v>
      </c>
      <c r="F92">
        <f>VLOOKUP(A92,City_Table,2)</f>
        <v>257</v>
      </c>
      <c r="G92" s="10">
        <f t="shared" si="1"/>
        <v>53</v>
      </c>
    </row>
    <row r="93" spans="1:7" ht="16.5" x14ac:dyDescent="0.25">
      <c r="A93" s="5" t="s">
        <v>118</v>
      </c>
      <c r="B93" s="6" t="s">
        <v>5</v>
      </c>
      <c r="C93" s="5" t="s">
        <v>12</v>
      </c>
      <c r="D93" s="7">
        <v>33911</v>
      </c>
      <c r="E93" s="8">
        <v>8.8800000000000008</v>
      </c>
      <c r="F93">
        <f>VLOOKUP(A93,City_Table,2)</f>
        <v>343</v>
      </c>
      <c r="G93" s="10">
        <f t="shared" si="1"/>
        <v>99</v>
      </c>
    </row>
    <row r="94" spans="1:7" ht="16.5" x14ac:dyDescent="0.25">
      <c r="A94" s="5" t="s">
        <v>119</v>
      </c>
      <c r="B94" s="6" t="s">
        <v>5</v>
      </c>
      <c r="C94" s="5" t="s">
        <v>29</v>
      </c>
      <c r="D94" s="7">
        <v>61037</v>
      </c>
      <c r="E94" s="8">
        <v>17.18</v>
      </c>
      <c r="F94">
        <f>VLOOKUP(A94,City_Table,2)</f>
        <v>227</v>
      </c>
      <c r="G94" s="10">
        <f t="shared" si="1"/>
        <v>269</v>
      </c>
    </row>
    <row r="95" spans="1:7" ht="16.5" x14ac:dyDescent="0.25">
      <c r="A95" s="5" t="s">
        <v>120</v>
      </c>
      <c r="B95" s="6" t="s">
        <v>5</v>
      </c>
      <c r="C95" s="5" t="s">
        <v>121</v>
      </c>
      <c r="D95" s="7">
        <v>1140</v>
      </c>
      <c r="E95" s="8">
        <v>1.08</v>
      </c>
      <c r="F95">
        <f>VLOOKUP(A95,City_Table,2)</f>
        <v>102</v>
      </c>
      <c r="G95" s="10">
        <f t="shared" si="1"/>
        <v>11</v>
      </c>
    </row>
    <row r="96" spans="1:7" ht="16.5" x14ac:dyDescent="0.25">
      <c r="A96" s="5" t="s">
        <v>122</v>
      </c>
      <c r="B96" s="6" t="s">
        <v>5</v>
      </c>
      <c r="C96" s="5" t="s">
        <v>43</v>
      </c>
      <c r="D96" s="7">
        <v>2029</v>
      </c>
      <c r="E96" s="8">
        <v>1.23</v>
      </c>
      <c r="F96">
        <f>VLOOKUP(A96,City_Table,2)</f>
        <v>97</v>
      </c>
      <c r="G96" s="10">
        <f t="shared" si="1"/>
        <v>21</v>
      </c>
    </row>
    <row r="97" spans="1:7" ht="16.5" x14ac:dyDescent="0.25">
      <c r="A97" s="5" t="s">
        <v>123</v>
      </c>
      <c r="B97" s="6" t="s">
        <v>5</v>
      </c>
      <c r="C97" s="5" t="s">
        <v>6</v>
      </c>
      <c r="D97" s="7">
        <v>10956</v>
      </c>
      <c r="E97" s="8">
        <v>6.14</v>
      </c>
      <c r="F97">
        <f>VLOOKUP(A97,City_Table,2)</f>
        <v>68</v>
      </c>
      <c r="G97" s="10">
        <f t="shared" si="1"/>
        <v>161</v>
      </c>
    </row>
    <row r="98" spans="1:7" ht="16.5" x14ac:dyDescent="0.25">
      <c r="A98" s="5" t="s">
        <v>124</v>
      </c>
      <c r="B98" s="6" t="s">
        <v>5</v>
      </c>
      <c r="C98" s="5" t="s">
        <v>104</v>
      </c>
      <c r="D98" s="7">
        <v>1496</v>
      </c>
      <c r="E98" s="8">
        <v>1.35</v>
      </c>
      <c r="F98">
        <f>VLOOKUP(A98,City_Table,2)</f>
        <v>12</v>
      </c>
      <c r="G98" s="10">
        <f t="shared" si="1"/>
        <v>125</v>
      </c>
    </row>
    <row r="99" spans="1:7" ht="16.5" x14ac:dyDescent="0.25">
      <c r="A99" s="5" t="s">
        <v>125</v>
      </c>
      <c r="B99" s="6" t="s">
        <v>5</v>
      </c>
      <c r="C99" s="5" t="s">
        <v>45</v>
      </c>
      <c r="D99" s="7">
        <v>38440</v>
      </c>
      <c r="E99" s="8">
        <v>14.54</v>
      </c>
      <c r="F99">
        <f>VLOOKUP(A99,City_Table,2)</f>
        <v>132</v>
      </c>
      <c r="G99" s="10">
        <f t="shared" si="1"/>
        <v>291</v>
      </c>
    </row>
    <row r="100" spans="1:7" ht="16.5" x14ac:dyDescent="0.25">
      <c r="A100" s="5" t="s">
        <v>126</v>
      </c>
      <c r="B100" s="6" t="s">
        <v>5</v>
      </c>
      <c r="C100" s="5" t="s">
        <v>21</v>
      </c>
      <c r="D100" s="7">
        <v>15223</v>
      </c>
      <c r="E100" s="8">
        <v>5.26</v>
      </c>
      <c r="F100">
        <f>VLOOKUP(A100,City_Table,2)</f>
        <v>86</v>
      </c>
      <c r="G100" s="10">
        <f t="shared" si="1"/>
        <v>177</v>
      </c>
    </row>
    <row r="101" spans="1:7" ht="16.5" x14ac:dyDescent="0.25">
      <c r="A101" s="5" t="s">
        <v>127</v>
      </c>
      <c r="B101" s="6" t="s">
        <v>5</v>
      </c>
      <c r="C101" s="5" t="s">
        <v>12</v>
      </c>
      <c r="D101" s="7">
        <v>39141</v>
      </c>
      <c r="E101" s="8">
        <v>7.85</v>
      </c>
      <c r="F101">
        <f>VLOOKUP(A101,City_Table,2)</f>
        <v>751</v>
      </c>
      <c r="G101" s="10">
        <f t="shared" si="1"/>
        <v>52</v>
      </c>
    </row>
    <row r="102" spans="1:7" ht="16.5" x14ac:dyDescent="0.25">
      <c r="A102" s="5" t="s">
        <v>128</v>
      </c>
      <c r="B102" s="6" t="s">
        <v>5</v>
      </c>
      <c r="C102" s="5" t="s">
        <v>98</v>
      </c>
      <c r="D102" s="7">
        <v>2268</v>
      </c>
      <c r="E102" s="8">
        <v>0.81</v>
      </c>
      <c r="F102">
        <f>VLOOKUP(A102,City_Table,2)</f>
        <v>1</v>
      </c>
      <c r="G102" s="10">
        <f t="shared" si="1"/>
        <v>2268</v>
      </c>
    </row>
    <row r="103" spans="1:7" ht="16.5" x14ac:dyDescent="0.25">
      <c r="A103" s="5" t="s">
        <v>129</v>
      </c>
      <c r="B103" s="6" t="s">
        <v>5</v>
      </c>
      <c r="C103" s="5" t="s">
        <v>8</v>
      </c>
      <c r="D103" s="7">
        <v>27202</v>
      </c>
      <c r="E103" s="8">
        <v>5.73</v>
      </c>
      <c r="F103">
        <f>VLOOKUP(A103,City_Table,2)</f>
        <v>424</v>
      </c>
      <c r="G103" s="10">
        <f t="shared" si="1"/>
        <v>64</v>
      </c>
    </row>
    <row r="104" spans="1:7" ht="16.5" x14ac:dyDescent="0.25">
      <c r="A104" s="5" t="s">
        <v>130</v>
      </c>
      <c r="B104" s="6" t="s">
        <v>5</v>
      </c>
      <c r="C104" s="5" t="s">
        <v>12</v>
      </c>
      <c r="D104" s="7">
        <v>70298</v>
      </c>
      <c r="E104" s="8">
        <v>20.69</v>
      </c>
      <c r="F104">
        <f>VLOOKUP(A104,City_Table,2)</f>
        <v>331</v>
      </c>
      <c r="G104" s="10">
        <f t="shared" si="1"/>
        <v>212</v>
      </c>
    </row>
    <row r="105" spans="1:7" ht="16.5" x14ac:dyDescent="0.25">
      <c r="A105" s="5" t="s">
        <v>131</v>
      </c>
      <c r="B105" s="6" t="s">
        <v>5</v>
      </c>
      <c r="C105" s="5" t="s">
        <v>78</v>
      </c>
      <c r="D105" s="7">
        <v>4758</v>
      </c>
      <c r="E105" s="8">
        <v>0.74</v>
      </c>
      <c r="F105">
        <f>VLOOKUP(A105,City_Table,2)</f>
        <v>7</v>
      </c>
      <c r="G105" s="10">
        <f t="shared" si="1"/>
        <v>680</v>
      </c>
    </row>
    <row r="106" spans="1:7" ht="16.5" x14ac:dyDescent="0.25">
      <c r="A106" s="5" t="s">
        <v>132</v>
      </c>
      <c r="B106" s="6" t="s">
        <v>5</v>
      </c>
      <c r="C106" s="5" t="s">
        <v>3</v>
      </c>
      <c r="D106" s="7">
        <v>1764</v>
      </c>
      <c r="E106" s="8">
        <v>2.0499999999999998</v>
      </c>
      <c r="F106">
        <f>VLOOKUP(A106,City_Table,2)</f>
        <v>11</v>
      </c>
      <c r="G106" s="10">
        <f t="shared" si="1"/>
        <v>160</v>
      </c>
    </row>
    <row r="107" spans="1:7" ht="16.5" x14ac:dyDescent="0.25">
      <c r="A107" s="5" t="s">
        <v>133</v>
      </c>
      <c r="B107" s="6" t="s">
        <v>5</v>
      </c>
      <c r="C107" s="5" t="s">
        <v>6</v>
      </c>
      <c r="D107" s="7">
        <v>4966</v>
      </c>
      <c r="E107" s="8">
        <v>3.4</v>
      </c>
      <c r="F107">
        <f>VLOOKUP(A107,City_Table,2)</f>
        <v>14</v>
      </c>
      <c r="G107" s="10">
        <f t="shared" si="1"/>
        <v>355</v>
      </c>
    </row>
    <row r="108" spans="1:7" ht="16.5" x14ac:dyDescent="0.25">
      <c r="A108" s="5" t="s">
        <v>134</v>
      </c>
      <c r="B108" s="6" t="s">
        <v>5</v>
      </c>
      <c r="C108" s="5" t="s">
        <v>8</v>
      </c>
      <c r="D108" s="7">
        <v>3288</v>
      </c>
      <c r="E108" s="8">
        <v>1.45</v>
      </c>
      <c r="F108">
        <f>VLOOKUP(A108,City_Table,2)</f>
        <v>161</v>
      </c>
      <c r="G108" s="10">
        <f t="shared" si="1"/>
        <v>20</v>
      </c>
    </row>
    <row r="109" spans="1:7" ht="16.5" x14ac:dyDescent="0.25">
      <c r="A109" s="5" t="s">
        <v>135</v>
      </c>
      <c r="B109" s="6" t="s">
        <v>5</v>
      </c>
      <c r="C109" s="5" t="s">
        <v>8</v>
      </c>
      <c r="D109" s="7">
        <v>25894</v>
      </c>
      <c r="E109" s="8">
        <v>6.32</v>
      </c>
      <c r="F109">
        <f>VLOOKUP(A109,City_Table,2)</f>
        <v>1024</v>
      </c>
      <c r="G109" s="10">
        <f t="shared" si="1"/>
        <v>25</v>
      </c>
    </row>
    <row r="110" spans="1:7" ht="16.5" x14ac:dyDescent="0.25">
      <c r="A110" s="5" t="s">
        <v>136</v>
      </c>
      <c r="B110" s="6" t="s">
        <v>5</v>
      </c>
      <c r="C110" s="5" t="s">
        <v>63</v>
      </c>
      <c r="D110" s="7">
        <v>508</v>
      </c>
      <c r="E110" s="8">
        <v>1.64</v>
      </c>
      <c r="F110">
        <f>VLOOKUP(A110,City_Table,2)</f>
        <v>4</v>
      </c>
      <c r="G110" s="10">
        <f t="shared" si="1"/>
        <v>127</v>
      </c>
    </row>
    <row r="111" spans="1:7" ht="16.5" x14ac:dyDescent="0.25">
      <c r="A111" s="5" t="s">
        <v>137</v>
      </c>
      <c r="B111" s="6" t="s">
        <v>5</v>
      </c>
      <c r="C111" s="5" t="s">
        <v>12</v>
      </c>
      <c r="D111" s="7">
        <v>20897</v>
      </c>
      <c r="E111" s="8">
        <v>4.66</v>
      </c>
      <c r="F111">
        <f>VLOOKUP(A111,City_Table,2)</f>
        <v>242</v>
      </c>
      <c r="G111" s="10">
        <f t="shared" si="1"/>
        <v>86</v>
      </c>
    </row>
    <row r="112" spans="1:7" ht="16.5" x14ac:dyDescent="0.25">
      <c r="A112" s="5" t="s">
        <v>138</v>
      </c>
      <c r="B112" s="6" t="s">
        <v>5</v>
      </c>
      <c r="C112" s="5" t="s">
        <v>6</v>
      </c>
      <c r="D112" s="7">
        <v>1800</v>
      </c>
      <c r="E112" s="8">
        <v>0.7</v>
      </c>
      <c r="F112">
        <f>VLOOKUP(A112,City_Table,2)</f>
        <v>2</v>
      </c>
      <c r="G112" s="10">
        <f t="shared" si="1"/>
        <v>900</v>
      </c>
    </row>
    <row r="113" spans="1:7" ht="15.75" customHeight="1" x14ac:dyDescent="0.25">
      <c r="A113" s="5" t="s">
        <v>139</v>
      </c>
      <c r="B113" s="6" t="s">
        <v>5</v>
      </c>
      <c r="C113" s="5" t="s">
        <v>29</v>
      </c>
      <c r="D113" s="7">
        <v>8299</v>
      </c>
      <c r="E113" s="8">
        <v>2.62</v>
      </c>
      <c r="F113">
        <f>VLOOKUP(A113,City_Table,2)</f>
        <v>28</v>
      </c>
      <c r="G113" s="10">
        <f t="shared" si="1"/>
        <v>296</v>
      </c>
    </row>
    <row r="114" spans="1:7" ht="16.5" x14ac:dyDescent="0.25">
      <c r="A114" s="5" t="s">
        <v>140</v>
      </c>
      <c r="B114" s="6" t="s">
        <v>5</v>
      </c>
      <c r="C114" s="5" t="s">
        <v>12</v>
      </c>
      <c r="D114" s="7">
        <v>19776</v>
      </c>
      <c r="E114" s="8">
        <v>6.05</v>
      </c>
      <c r="F114">
        <f>VLOOKUP(A114,City_Table,2)</f>
        <v>233</v>
      </c>
      <c r="G114" s="10">
        <f t="shared" si="1"/>
        <v>85</v>
      </c>
    </row>
    <row r="115" spans="1:7" ht="16.5" x14ac:dyDescent="0.25">
      <c r="A115" s="5" t="s">
        <v>141</v>
      </c>
      <c r="B115" s="6" t="s">
        <v>5</v>
      </c>
      <c r="C115" s="5" t="s">
        <v>3</v>
      </c>
      <c r="D115" s="7">
        <v>4052</v>
      </c>
      <c r="E115" s="8">
        <v>10.58</v>
      </c>
      <c r="F115">
        <f>VLOOKUP(A115,City_Table,2)</f>
        <v>30</v>
      </c>
      <c r="G115" s="10">
        <f t="shared" si="1"/>
        <v>135</v>
      </c>
    </row>
    <row r="116" spans="1:7" ht="16.5" x14ac:dyDescent="0.25">
      <c r="A116" s="5" t="s">
        <v>142</v>
      </c>
      <c r="B116" s="6" t="s">
        <v>5</v>
      </c>
      <c r="C116" s="5" t="s">
        <v>47</v>
      </c>
      <c r="D116" s="7">
        <v>1199</v>
      </c>
      <c r="E116" s="8">
        <v>0.82</v>
      </c>
      <c r="F116">
        <f>VLOOKUP(A116,City_Table,2)</f>
        <v>4</v>
      </c>
      <c r="G116" s="10">
        <f t="shared" si="1"/>
        <v>300</v>
      </c>
    </row>
    <row r="117" spans="1:7" ht="16.5" x14ac:dyDescent="0.25">
      <c r="A117" s="5" t="s">
        <v>143</v>
      </c>
      <c r="B117" s="6" t="s">
        <v>5</v>
      </c>
      <c r="C117" s="5" t="s">
        <v>78</v>
      </c>
      <c r="D117" s="7">
        <v>24086</v>
      </c>
      <c r="E117" s="8">
        <v>17.84</v>
      </c>
      <c r="F117">
        <f>VLOOKUP(A117,City_Table,2)</f>
        <v>83</v>
      </c>
      <c r="G117" s="10">
        <f t="shared" si="1"/>
        <v>290</v>
      </c>
    </row>
    <row r="118" spans="1:7" ht="16.5" x14ac:dyDescent="0.25">
      <c r="A118" s="5" t="s">
        <v>144</v>
      </c>
      <c r="B118" s="6" t="s">
        <v>5</v>
      </c>
      <c r="C118" s="5" t="s">
        <v>47</v>
      </c>
      <c r="D118" s="7">
        <v>820</v>
      </c>
      <c r="E118" s="8">
        <v>0.68</v>
      </c>
      <c r="F118">
        <f>VLOOKUP(A118,City_Table,2)</f>
        <v>6</v>
      </c>
      <c r="G118" s="10">
        <f t="shared" si="1"/>
        <v>137</v>
      </c>
    </row>
    <row r="119" spans="1:7" ht="16.5" x14ac:dyDescent="0.25">
      <c r="A119" s="5" t="s">
        <v>145</v>
      </c>
      <c r="B119" s="6" t="s">
        <v>5</v>
      </c>
      <c r="C119" s="5" t="s">
        <v>10</v>
      </c>
      <c r="D119" s="7">
        <v>36006</v>
      </c>
      <c r="E119" s="8">
        <v>12.24</v>
      </c>
      <c r="F119">
        <f>VLOOKUP(A119,City_Table,2)</f>
        <v>245</v>
      </c>
      <c r="G119" s="10">
        <f t="shared" si="1"/>
        <v>147</v>
      </c>
    </row>
    <row r="120" spans="1:7" ht="16.5" x14ac:dyDescent="0.25">
      <c r="A120" s="5" t="s">
        <v>146</v>
      </c>
      <c r="B120" s="6" t="s">
        <v>5</v>
      </c>
      <c r="C120" s="5" t="s">
        <v>12</v>
      </c>
      <c r="D120" s="7">
        <v>21338</v>
      </c>
      <c r="E120" s="8">
        <v>4.0599999999999996</v>
      </c>
      <c r="F120">
        <f>VLOOKUP(A120,City_Table,2)</f>
        <v>122</v>
      </c>
      <c r="G120" s="10">
        <f t="shared" si="1"/>
        <v>175</v>
      </c>
    </row>
    <row r="121" spans="1:7" ht="16.5" x14ac:dyDescent="0.25">
      <c r="A121" s="5" t="s">
        <v>147</v>
      </c>
      <c r="B121" s="6" t="s">
        <v>5</v>
      </c>
      <c r="C121" s="5" t="s">
        <v>98</v>
      </c>
      <c r="D121" s="7">
        <v>4104</v>
      </c>
      <c r="E121" s="8">
        <v>2.2000000000000002</v>
      </c>
      <c r="F121">
        <f>VLOOKUP(A121,City_Table,2)</f>
        <v>25</v>
      </c>
      <c r="G121" s="10">
        <f t="shared" si="1"/>
        <v>164</v>
      </c>
    </row>
    <row r="122" spans="1:7" ht="16.5" x14ac:dyDescent="0.25">
      <c r="A122" s="5" t="s">
        <v>148</v>
      </c>
      <c r="B122" s="6" t="s">
        <v>5</v>
      </c>
      <c r="C122" s="5" t="s">
        <v>12</v>
      </c>
      <c r="D122" s="7">
        <v>21441</v>
      </c>
      <c r="E122" s="8">
        <v>6.34</v>
      </c>
      <c r="F122">
        <f>VLOOKUP(A122,City_Table,2)</f>
        <v>285</v>
      </c>
      <c r="G122" s="10">
        <f t="shared" si="1"/>
        <v>75</v>
      </c>
    </row>
    <row r="123" spans="1:7" ht="16.5" x14ac:dyDescent="0.25">
      <c r="A123" s="5" t="s">
        <v>149</v>
      </c>
      <c r="B123" s="6" t="s">
        <v>5</v>
      </c>
      <c r="C123" s="5" t="s">
        <v>47</v>
      </c>
      <c r="D123" s="7">
        <v>2001</v>
      </c>
      <c r="E123" s="8">
        <v>2.38</v>
      </c>
      <c r="F123">
        <f>VLOOKUP(A123,City_Table,2)</f>
        <v>1</v>
      </c>
      <c r="G123" s="10">
        <f t="shared" si="1"/>
        <v>2001</v>
      </c>
    </row>
    <row r="124" spans="1:7" ht="16.5" x14ac:dyDescent="0.25">
      <c r="A124" s="5" t="s">
        <v>150</v>
      </c>
      <c r="B124" s="6" t="s">
        <v>5</v>
      </c>
      <c r="C124" s="5" t="s">
        <v>8</v>
      </c>
      <c r="D124" s="7">
        <v>12292</v>
      </c>
      <c r="E124" s="8">
        <v>4.45</v>
      </c>
      <c r="F124">
        <f>VLOOKUP(A124,City_Table,2)</f>
        <v>339</v>
      </c>
      <c r="G124" s="10">
        <f t="shared" si="1"/>
        <v>36</v>
      </c>
    </row>
    <row r="125" spans="1:7" ht="16.5" x14ac:dyDescent="0.25">
      <c r="A125" s="5" t="s">
        <v>151</v>
      </c>
      <c r="B125" s="6" t="s">
        <v>5</v>
      </c>
      <c r="C125" s="5" t="s">
        <v>152</v>
      </c>
      <c r="D125" s="7">
        <v>2199</v>
      </c>
      <c r="E125" s="8">
        <v>1.35</v>
      </c>
      <c r="F125">
        <f>VLOOKUP(A125,City_Table,2)</f>
        <v>11</v>
      </c>
      <c r="G125" s="10">
        <f t="shared" si="1"/>
        <v>200</v>
      </c>
    </row>
    <row r="126" spans="1:7" ht="16.5" x14ac:dyDescent="0.25">
      <c r="A126" s="5" t="s">
        <v>153</v>
      </c>
      <c r="B126" s="6" t="s">
        <v>5</v>
      </c>
      <c r="C126" s="5" t="s">
        <v>21</v>
      </c>
      <c r="D126" s="7">
        <v>1631</v>
      </c>
      <c r="E126" s="8">
        <v>0.71</v>
      </c>
      <c r="F126">
        <f>VLOOKUP(A126,City_Table,2)</f>
        <v>5</v>
      </c>
      <c r="G126" s="10">
        <f t="shared" si="1"/>
        <v>326</v>
      </c>
    </row>
    <row r="127" spans="1:7" ht="16.5" x14ac:dyDescent="0.25">
      <c r="A127" s="5" t="s">
        <v>154</v>
      </c>
      <c r="B127" s="6" t="s">
        <v>5</v>
      </c>
      <c r="C127" s="5" t="s">
        <v>8</v>
      </c>
      <c r="D127" s="7">
        <v>6604</v>
      </c>
      <c r="E127" s="8">
        <v>2.52</v>
      </c>
      <c r="F127">
        <f>VLOOKUP(A127,City_Table,2)</f>
        <v>124</v>
      </c>
      <c r="G127" s="10">
        <f t="shared" si="1"/>
        <v>53</v>
      </c>
    </row>
    <row r="128" spans="1:7" ht="16.5" x14ac:dyDescent="0.25">
      <c r="A128" s="5" t="s">
        <v>155</v>
      </c>
      <c r="B128" s="6" t="s">
        <v>5</v>
      </c>
      <c r="C128" s="5" t="s">
        <v>8</v>
      </c>
      <c r="D128" s="7">
        <v>7423</v>
      </c>
      <c r="E128" s="8">
        <v>4.37</v>
      </c>
      <c r="F128">
        <f>VLOOKUP(A128,City_Table,2)</f>
        <v>250</v>
      </c>
      <c r="G128" s="10">
        <f t="shared" si="1"/>
        <v>30</v>
      </c>
    </row>
    <row r="129" spans="1:7" ht="16.5" x14ac:dyDescent="0.25">
      <c r="A129" s="5" t="s">
        <v>156</v>
      </c>
      <c r="B129" s="6" t="s">
        <v>5</v>
      </c>
      <c r="C129" s="5" t="s">
        <v>157</v>
      </c>
      <c r="D129" s="7">
        <v>1007</v>
      </c>
      <c r="E129" s="8">
        <v>2.41</v>
      </c>
      <c r="F129">
        <f>VLOOKUP(A129,City_Table,2)</f>
        <v>1</v>
      </c>
      <c r="G129" s="10">
        <f t="shared" si="1"/>
        <v>1007</v>
      </c>
    </row>
    <row r="130" spans="1:7" ht="16.5" x14ac:dyDescent="0.25">
      <c r="A130" s="5" t="s">
        <v>158</v>
      </c>
      <c r="B130" s="6" t="s">
        <v>5</v>
      </c>
      <c r="C130" s="5" t="s">
        <v>121</v>
      </c>
      <c r="D130" s="7">
        <v>23565</v>
      </c>
      <c r="E130" s="8">
        <v>9.65</v>
      </c>
      <c r="F130">
        <f>VLOOKUP(A130,City_Table,2)</f>
        <v>174</v>
      </c>
      <c r="G130" s="10">
        <f t="shared" si="1"/>
        <v>135</v>
      </c>
    </row>
    <row r="131" spans="1:7" ht="16.5" x14ac:dyDescent="0.25">
      <c r="A131" s="5" t="s">
        <v>159</v>
      </c>
      <c r="B131" s="6" t="s">
        <v>5</v>
      </c>
      <c r="C131" s="5" t="s">
        <v>3</v>
      </c>
      <c r="D131" s="7">
        <v>692</v>
      </c>
      <c r="E131" s="8">
        <v>0.5</v>
      </c>
      <c r="F131">
        <f>VLOOKUP(A131,City_Table,2)</f>
        <v>9</v>
      </c>
      <c r="G131" s="10">
        <f t="shared" si="1"/>
        <v>77</v>
      </c>
    </row>
    <row r="132" spans="1:7" ht="16.5" x14ac:dyDescent="0.25">
      <c r="A132" s="5" t="s">
        <v>160</v>
      </c>
      <c r="B132" s="6" t="s">
        <v>5</v>
      </c>
      <c r="C132" s="5" t="s">
        <v>3</v>
      </c>
      <c r="D132" s="7">
        <v>6494</v>
      </c>
      <c r="E132" s="8">
        <v>8.51</v>
      </c>
      <c r="F132">
        <f>VLOOKUP(A132,City_Table,2)</f>
        <v>58</v>
      </c>
      <c r="G132" s="10">
        <f t="shared" si="1"/>
        <v>112</v>
      </c>
    </row>
    <row r="133" spans="1:7" ht="16.5" x14ac:dyDescent="0.25">
      <c r="A133" s="5" t="s">
        <v>33</v>
      </c>
      <c r="B133" s="6" t="s">
        <v>5</v>
      </c>
      <c r="C133" s="5" t="s">
        <v>33</v>
      </c>
      <c r="D133" s="7">
        <v>2588</v>
      </c>
      <c r="E133" s="8">
        <v>1.99</v>
      </c>
      <c r="F133">
        <f>VLOOKUP(A133,City_Table,2)</f>
        <v>6</v>
      </c>
      <c r="G133" s="10">
        <f t="shared" si="1"/>
        <v>431</v>
      </c>
    </row>
    <row r="134" spans="1:7" ht="16.5" x14ac:dyDescent="0.25">
      <c r="A134" s="5" t="s">
        <v>161</v>
      </c>
      <c r="B134" s="6" t="s">
        <v>5</v>
      </c>
      <c r="C134" s="5" t="s">
        <v>116</v>
      </c>
      <c r="D134" s="7">
        <v>52882</v>
      </c>
      <c r="E134" s="8">
        <v>17.82</v>
      </c>
      <c r="F134">
        <f>VLOOKUP(A134,City_Table,2)</f>
        <v>1623</v>
      </c>
      <c r="G134" s="10">
        <f t="shared" ref="G134:G197" si="2">ROUND(D134/F134,0)</f>
        <v>33</v>
      </c>
    </row>
    <row r="135" spans="1:7" ht="16.5" x14ac:dyDescent="0.25">
      <c r="A135" s="5" t="s">
        <v>162</v>
      </c>
      <c r="B135" s="6" t="s">
        <v>5</v>
      </c>
      <c r="C135" s="5" t="s">
        <v>33</v>
      </c>
      <c r="D135" s="7">
        <v>4778</v>
      </c>
      <c r="E135" s="8">
        <v>3.46</v>
      </c>
      <c r="F135">
        <f>VLOOKUP(A135,City_Table,2)</f>
        <v>7</v>
      </c>
      <c r="G135" s="10">
        <f t="shared" si="2"/>
        <v>683</v>
      </c>
    </row>
    <row r="136" spans="1:7" ht="16.5" x14ac:dyDescent="0.25">
      <c r="A136" s="5" t="s">
        <v>163</v>
      </c>
      <c r="B136" s="6" t="s">
        <v>5</v>
      </c>
      <c r="C136" s="5" t="s">
        <v>33</v>
      </c>
      <c r="D136" s="7">
        <v>1675</v>
      </c>
      <c r="E136" s="8">
        <v>1.64</v>
      </c>
      <c r="F136">
        <f>VLOOKUP(A136,City_Table,2)</f>
        <v>6</v>
      </c>
      <c r="G136" s="10">
        <f t="shared" si="2"/>
        <v>279</v>
      </c>
    </row>
    <row r="137" spans="1:7" ht="16.5" x14ac:dyDescent="0.25">
      <c r="A137" s="5" t="s">
        <v>164</v>
      </c>
      <c r="B137" s="6" t="s">
        <v>5</v>
      </c>
      <c r="C137" s="5" t="s">
        <v>29</v>
      </c>
      <c r="D137" s="7">
        <v>8610</v>
      </c>
      <c r="E137" s="8">
        <v>2.73</v>
      </c>
      <c r="F137">
        <f>VLOOKUP(A137,City_Table,2)</f>
        <v>51</v>
      </c>
      <c r="G137" s="10">
        <f t="shared" si="2"/>
        <v>169</v>
      </c>
    </row>
    <row r="138" spans="1:7" ht="16.5" x14ac:dyDescent="0.25">
      <c r="A138" s="5" t="s">
        <v>165</v>
      </c>
      <c r="B138" s="6" t="s">
        <v>5</v>
      </c>
      <c r="C138" s="5" t="s">
        <v>166</v>
      </c>
      <c r="D138" s="7">
        <v>8386</v>
      </c>
      <c r="E138" s="8">
        <v>3.81</v>
      </c>
      <c r="F138">
        <f>VLOOKUP(A138,City_Table,2)</f>
        <v>15</v>
      </c>
      <c r="G138" s="10">
        <f t="shared" si="2"/>
        <v>559</v>
      </c>
    </row>
    <row r="139" spans="1:7" ht="15.75" customHeight="1" x14ac:dyDescent="0.25">
      <c r="A139" s="5" t="s">
        <v>104</v>
      </c>
      <c r="B139" s="6" t="s">
        <v>5</v>
      </c>
      <c r="C139" s="5" t="s">
        <v>8</v>
      </c>
      <c r="D139" s="7">
        <v>7178</v>
      </c>
      <c r="E139" s="8">
        <v>2.41</v>
      </c>
      <c r="F139">
        <f>VLOOKUP(A139,City_Table,2)</f>
        <v>21</v>
      </c>
      <c r="G139" s="10">
        <f t="shared" si="2"/>
        <v>342</v>
      </c>
    </row>
    <row r="140" spans="1:7" ht="16.5" x14ac:dyDescent="0.25">
      <c r="A140" s="5" t="s">
        <v>167</v>
      </c>
      <c r="B140" s="6" t="s">
        <v>57</v>
      </c>
      <c r="C140" s="5" t="s">
        <v>58</v>
      </c>
      <c r="D140" s="7">
        <v>1075</v>
      </c>
      <c r="E140" s="8">
        <v>1.08</v>
      </c>
      <c r="F140">
        <f>VLOOKUP(A140,City_Table,2)</f>
        <v>9</v>
      </c>
      <c r="G140" s="10">
        <f t="shared" si="2"/>
        <v>119</v>
      </c>
    </row>
    <row r="141" spans="1:7" ht="16.5" x14ac:dyDescent="0.25">
      <c r="A141" s="5" t="s">
        <v>168</v>
      </c>
      <c r="B141" s="6" t="s">
        <v>5</v>
      </c>
      <c r="C141" s="5" t="s">
        <v>63</v>
      </c>
      <c r="D141" s="7">
        <v>75432</v>
      </c>
      <c r="E141" s="8">
        <v>31.46</v>
      </c>
      <c r="F141">
        <f>VLOOKUP(A141,City_Table,2)</f>
        <v>142</v>
      </c>
      <c r="G141" s="10">
        <f t="shared" si="2"/>
        <v>531</v>
      </c>
    </row>
    <row r="142" spans="1:7" ht="16.5" x14ac:dyDescent="0.25">
      <c r="A142" s="5" t="s">
        <v>169</v>
      </c>
      <c r="B142" s="6" t="s">
        <v>5</v>
      </c>
      <c r="C142" s="5" t="s">
        <v>33</v>
      </c>
      <c r="D142" s="7">
        <v>714</v>
      </c>
      <c r="E142" s="8">
        <v>0.49</v>
      </c>
      <c r="F142">
        <f>VLOOKUP(A142,City_Table,2)</f>
        <v>2</v>
      </c>
      <c r="G142" s="10">
        <f t="shared" si="2"/>
        <v>357</v>
      </c>
    </row>
    <row r="143" spans="1:7" ht="16.5" x14ac:dyDescent="0.25">
      <c r="A143" s="5" t="s">
        <v>170</v>
      </c>
      <c r="B143" s="6" t="s">
        <v>5</v>
      </c>
      <c r="C143" s="5" t="s">
        <v>171</v>
      </c>
      <c r="D143" s="7">
        <v>1395</v>
      </c>
      <c r="E143" s="8">
        <v>1.78</v>
      </c>
      <c r="F143">
        <f>VLOOKUP(A143,City_Table,2)</f>
        <v>5</v>
      </c>
      <c r="G143" s="10">
        <f t="shared" si="2"/>
        <v>279</v>
      </c>
    </row>
    <row r="144" spans="1:7" ht="16.5" x14ac:dyDescent="0.25">
      <c r="A144" s="5" t="s">
        <v>172</v>
      </c>
      <c r="B144" s="6" t="s">
        <v>5</v>
      </c>
      <c r="C144" s="5" t="s">
        <v>91</v>
      </c>
      <c r="D144" s="7">
        <v>20229</v>
      </c>
      <c r="E144" s="8">
        <v>10.7</v>
      </c>
      <c r="F144">
        <f>VLOOKUP(A144,City_Table,2)</f>
        <v>192</v>
      </c>
      <c r="G144" s="10">
        <f t="shared" si="2"/>
        <v>105</v>
      </c>
    </row>
    <row r="145" spans="1:7" ht="16.5" x14ac:dyDescent="0.25">
      <c r="A145" s="5" t="s">
        <v>173</v>
      </c>
      <c r="B145" s="6" t="s">
        <v>57</v>
      </c>
      <c r="C145" s="5" t="s">
        <v>16</v>
      </c>
      <c r="D145" s="7">
        <v>14597</v>
      </c>
      <c r="E145" s="8">
        <v>9.68</v>
      </c>
      <c r="F145">
        <f>VLOOKUP(A145,City_Table,2)</f>
        <v>359</v>
      </c>
      <c r="G145" s="10">
        <f t="shared" si="2"/>
        <v>41</v>
      </c>
    </row>
    <row r="146" spans="1:7" ht="16.5" x14ac:dyDescent="0.25">
      <c r="A146" s="5" t="s">
        <v>174</v>
      </c>
      <c r="B146" s="6" t="s">
        <v>5</v>
      </c>
      <c r="C146" s="5" t="s">
        <v>175</v>
      </c>
      <c r="D146" s="7">
        <v>9831</v>
      </c>
      <c r="E146" s="8">
        <v>6.98</v>
      </c>
      <c r="F146">
        <f>VLOOKUP(A146,City_Table,2)</f>
        <v>275</v>
      </c>
      <c r="G146" s="10">
        <f t="shared" si="2"/>
        <v>36</v>
      </c>
    </row>
    <row r="147" spans="1:7" ht="16.5" x14ac:dyDescent="0.25">
      <c r="A147" s="5" t="s">
        <v>176</v>
      </c>
      <c r="B147" s="6" t="s">
        <v>5</v>
      </c>
      <c r="C147" s="5" t="s">
        <v>16</v>
      </c>
      <c r="D147" s="7">
        <v>11168</v>
      </c>
      <c r="E147" s="8">
        <v>4.74</v>
      </c>
      <c r="F147">
        <f>VLOOKUP(A147,City_Table,2)</f>
        <v>289</v>
      </c>
      <c r="G147" s="10">
        <f t="shared" si="2"/>
        <v>39</v>
      </c>
    </row>
    <row r="148" spans="1:7" ht="16.5" x14ac:dyDescent="0.25">
      <c r="A148" s="5" t="s">
        <v>177</v>
      </c>
      <c r="B148" s="6" t="s">
        <v>5</v>
      </c>
      <c r="C148" s="5" t="s">
        <v>60</v>
      </c>
      <c r="D148" s="7">
        <v>305</v>
      </c>
      <c r="E148" s="8">
        <v>0.4</v>
      </c>
      <c r="F148">
        <f>VLOOKUP(A148,City_Table,2)</f>
        <v>289</v>
      </c>
      <c r="G148" s="10">
        <f t="shared" si="2"/>
        <v>1</v>
      </c>
    </row>
    <row r="149" spans="1:7" ht="16.5" x14ac:dyDescent="0.25">
      <c r="A149" s="5" t="s">
        <v>178</v>
      </c>
      <c r="B149" s="6" t="s">
        <v>5</v>
      </c>
      <c r="C149" s="5" t="s">
        <v>23</v>
      </c>
      <c r="D149" s="7">
        <v>6380</v>
      </c>
      <c r="E149" s="8">
        <v>4.55</v>
      </c>
      <c r="F149">
        <f>VLOOKUP(A149,City_Table,2)</f>
        <v>11</v>
      </c>
      <c r="G149" s="10">
        <f t="shared" si="2"/>
        <v>580</v>
      </c>
    </row>
    <row r="150" spans="1:7" ht="16.5" x14ac:dyDescent="0.25">
      <c r="A150" s="5" t="s">
        <v>179</v>
      </c>
      <c r="B150" s="6" t="s">
        <v>5</v>
      </c>
      <c r="C150" s="5" t="s">
        <v>58</v>
      </c>
      <c r="D150" s="7">
        <v>34506</v>
      </c>
      <c r="E150" s="8">
        <v>9.8800000000000008</v>
      </c>
      <c r="F150">
        <f>VLOOKUP(A150,City_Table,2)</f>
        <v>72</v>
      </c>
      <c r="G150" s="10">
        <f t="shared" si="2"/>
        <v>479</v>
      </c>
    </row>
    <row r="151" spans="1:7" ht="16.5" x14ac:dyDescent="0.25">
      <c r="A151" s="5" t="s">
        <v>180</v>
      </c>
      <c r="B151" s="6" t="s">
        <v>5</v>
      </c>
      <c r="C151" s="5" t="s">
        <v>29</v>
      </c>
      <c r="D151" s="7">
        <v>42361</v>
      </c>
      <c r="E151" s="8">
        <v>14.11</v>
      </c>
      <c r="F151">
        <f>VLOOKUP(A151,City_Table,2)</f>
        <v>591</v>
      </c>
      <c r="G151" s="10">
        <f t="shared" si="2"/>
        <v>72</v>
      </c>
    </row>
    <row r="152" spans="1:7" ht="16.5" x14ac:dyDescent="0.25">
      <c r="A152" s="5" t="s">
        <v>181</v>
      </c>
      <c r="B152" s="6" t="s">
        <v>5</v>
      </c>
      <c r="C152" s="5" t="s">
        <v>78</v>
      </c>
      <c r="D152" s="7">
        <v>8033</v>
      </c>
      <c r="E152" s="8">
        <v>4.9800000000000004</v>
      </c>
      <c r="F152">
        <f>VLOOKUP(A152,City_Table,2)</f>
        <v>22</v>
      </c>
      <c r="G152" s="10">
        <f t="shared" si="2"/>
        <v>365</v>
      </c>
    </row>
    <row r="153" spans="1:7" ht="16.5" x14ac:dyDescent="0.25">
      <c r="A153" s="5" t="s">
        <v>182</v>
      </c>
      <c r="B153" s="6" t="s">
        <v>5</v>
      </c>
      <c r="C153" s="5" t="s">
        <v>116</v>
      </c>
      <c r="D153" s="7">
        <v>2287</v>
      </c>
      <c r="E153" s="8">
        <v>1.73</v>
      </c>
      <c r="F153">
        <f>VLOOKUP(A153,City_Table,2)</f>
        <v>18</v>
      </c>
      <c r="G153" s="10">
        <f t="shared" si="2"/>
        <v>127</v>
      </c>
    </row>
    <row r="154" spans="1:7" ht="16.5" x14ac:dyDescent="0.25">
      <c r="A154" s="5" t="s">
        <v>183</v>
      </c>
      <c r="B154" s="6" t="s">
        <v>5</v>
      </c>
      <c r="C154" s="5" t="s">
        <v>104</v>
      </c>
      <c r="D154" s="7">
        <v>2994</v>
      </c>
      <c r="E154" s="8">
        <v>4.0599999999999996</v>
      </c>
      <c r="F154">
        <f>VLOOKUP(A154,City_Table,2)</f>
        <v>12</v>
      </c>
      <c r="G154" s="10">
        <f t="shared" si="2"/>
        <v>250</v>
      </c>
    </row>
    <row r="155" spans="1:7" ht="16.5" x14ac:dyDescent="0.25">
      <c r="A155" s="5" t="s">
        <v>184</v>
      </c>
      <c r="B155" s="6" t="s">
        <v>5</v>
      </c>
      <c r="C155" s="5" t="s">
        <v>8</v>
      </c>
      <c r="D155" s="7">
        <v>71929</v>
      </c>
      <c r="E155" s="8">
        <v>16.47</v>
      </c>
      <c r="F155">
        <f>VLOOKUP(A155,City_Table,2)</f>
        <v>2715</v>
      </c>
      <c r="G155" s="10">
        <f t="shared" si="2"/>
        <v>26</v>
      </c>
    </row>
    <row r="156" spans="1:7" ht="16.5" x14ac:dyDescent="0.25">
      <c r="A156" s="5" t="s">
        <v>185</v>
      </c>
      <c r="B156" s="6" t="s">
        <v>5</v>
      </c>
      <c r="C156" s="5" t="s">
        <v>8</v>
      </c>
      <c r="D156" s="7">
        <v>101751</v>
      </c>
      <c r="E156" s="8">
        <v>23.37</v>
      </c>
      <c r="F156">
        <f>VLOOKUP(A156,City_Table,2)</f>
        <v>1437</v>
      </c>
      <c r="G156" s="10">
        <f t="shared" si="2"/>
        <v>71</v>
      </c>
    </row>
    <row r="157" spans="1:7" ht="16.5" x14ac:dyDescent="0.25">
      <c r="A157" s="5" t="s">
        <v>186</v>
      </c>
      <c r="B157" s="6" t="s">
        <v>5</v>
      </c>
      <c r="C157" s="5" t="s">
        <v>187</v>
      </c>
      <c r="D157" s="7">
        <v>1066</v>
      </c>
      <c r="E157" s="8">
        <v>1.59</v>
      </c>
      <c r="F157">
        <f>VLOOKUP(A157,City_Table,2)</f>
        <v>5</v>
      </c>
      <c r="G157" s="10">
        <f t="shared" si="2"/>
        <v>213</v>
      </c>
    </row>
    <row r="158" spans="1:7" ht="16.5" x14ac:dyDescent="0.25">
      <c r="A158" s="5" t="s">
        <v>188</v>
      </c>
      <c r="B158" s="6" t="s">
        <v>2</v>
      </c>
      <c r="C158" s="5" t="s">
        <v>23</v>
      </c>
      <c r="D158" s="7">
        <v>58225</v>
      </c>
      <c r="E158" s="8">
        <v>38.56</v>
      </c>
      <c r="F158">
        <f>VLOOKUP(A158,City_Table,2)</f>
        <v>361</v>
      </c>
      <c r="G158" s="10">
        <f t="shared" si="2"/>
        <v>161</v>
      </c>
    </row>
    <row r="159" spans="1:7" ht="16.5" x14ac:dyDescent="0.25">
      <c r="A159" s="5" t="s">
        <v>189</v>
      </c>
      <c r="B159" s="6" t="s">
        <v>5</v>
      </c>
      <c r="C159" s="5" t="s">
        <v>18</v>
      </c>
      <c r="D159" s="7">
        <v>9153</v>
      </c>
      <c r="E159" s="8">
        <v>7.08</v>
      </c>
      <c r="F159">
        <f>VLOOKUP(A159,City_Table,2)</f>
        <v>238</v>
      </c>
      <c r="G159" s="10">
        <f t="shared" si="2"/>
        <v>38</v>
      </c>
    </row>
    <row r="160" spans="1:7" ht="16.5" x14ac:dyDescent="0.25">
      <c r="A160" s="5" t="s">
        <v>190</v>
      </c>
      <c r="B160" s="6" t="s">
        <v>57</v>
      </c>
      <c r="C160" s="5" t="s">
        <v>166</v>
      </c>
      <c r="D160" s="7">
        <v>1654</v>
      </c>
      <c r="E160" s="8">
        <v>1.7</v>
      </c>
      <c r="F160">
        <f>VLOOKUP(A160,City_Table,2)</f>
        <v>5</v>
      </c>
      <c r="G160" s="10">
        <f t="shared" si="2"/>
        <v>331</v>
      </c>
    </row>
    <row r="161" spans="1:7" ht="16.5" x14ac:dyDescent="0.25">
      <c r="A161" s="5" t="s">
        <v>191</v>
      </c>
      <c r="B161" s="6" t="s">
        <v>5</v>
      </c>
      <c r="C161" s="5" t="s">
        <v>35</v>
      </c>
      <c r="D161" s="7">
        <v>1124</v>
      </c>
      <c r="E161" s="8">
        <v>0.62</v>
      </c>
      <c r="F161">
        <f>VLOOKUP(A161,City_Table,2)</f>
        <v>1</v>
      </c>
      <c r="G161" s="10">
        <f t="shared" si="2"/>
        <v>1124</v>
      </c>
    </row>
    <row r="162" spans="1:7" ht="16.5" x14ac:dyDescent="0.25">
      <c r="A162" s="5" t="s">
        <v>192</v>
      </c>
      <c r="B162" s="6" t="s">
        <v>5</v>
      </c>
      <c r="C162" s="5" t="s">
        <v>54</v>
      </c>
      <c r="D162" s="7">
        <v>958</v>
      </c>
      <c r="E162" s="8">
        <v>4.37</v>
      </c>
      <c r="F162">
        <f>VLOOKUP(A162,City_Table,2)</f>
        <v>1</v>
      </c>
      <c r="G162" s="10">
        <f t="shared" si="2"/>
        <v>958</v>
      </c>
    </row>
    <row r="163" spans="1:7" ht="16.5" x14ac:dyDescent="0.25">
      <c r="A163" s="5" t="s">
        <v>193</v>
      </c>
      <c r="B163" s="6" t="s">
        <v>5</v>
      </c>
      <c r="C163" s="5" t="s">
        <v>29</v>
      </c>
      <c r="D163" s="7">
        <v>822</v>
      </c>
      <c r="E163" s="8">
        <v>0.49</v>
      </c>
      <c r="F163">
        <f>VLOOKUP(A163,City_Table,2)</f>
        <v>50</v>
      </c>
      <c r="G163" s="10">
        <f t="shared" si="2"/>
        <v>16</v>
      </c>
    </row>
    <row r="164" spans="1:7" ht="16.5" x14ac:dyDescent="0.25">
      <c r="A164" s="5" t="s">
        <v>194</v>
      </c>
      <c r="B164" s="6" t="s">
        <v>5</v>
      </c>
      <c r="C164" s="5" t="s">
        <v>78</v>
      </c>
      <c r="D164" s="7">
        <v>2237</v>
      </c>
      <c r="E164" s="8">
        <v>1.35</v>
      </c>
      <c r="F164">
        <f>VLOOKUP(A164,City_Table,2)</f>
        <v>2</v>
      </c>
      <c r="G164" s="10">
        <f t="shared" si="2"/>
        <v>1119</v>
      </c>
    </row>
    <row r="165" spans="1:7" ht="16.5" x14ac:dyDescent="0.25">
      <c r="A165" s="5" t="s">
        <v>195</v>
      </c>
      <c r="B165" s="6" t="s">
        <v>5</v>
      </c>
      <c r="C165" s="5" t="s">
        <v>29</v>
      </c>
      <c r="D165" s="7">
        <v>845</v>
      </c>
      <c r="E165" s="8">
        <v>0.26</v>
      </c>
      <c r="F165">
        <f>VLOOKUP(A165,City_Table,2)</f>
        <v>27</v>
      </c>
      <c r="G165" s="10">
        <f t="shared" si="2"/>
        <v>31</v>
      </c>
    </row>
    <row r="166" spans="1:7" ht="16.5" x14ac:dyDescent="0.25">
      <c r="A166" s="5" t="s">
        <v>196</v>
      </c>
      <c r="B166" s="6" t="s">
        <v>5</v>
      </c>
      <c r="C166" s="5" t="s">
        <v>8</v>
      </c>
      <c r="D166" s="7">
        <v>65892</v>
      </c>
      <c r="E166" s="8">
        <v>18.41</v>
      </c>
      <c r="F166">
        <f>VLOOKUP(A166,City_Table,2)</f>
        <v>1903</v>
      </c>
      <c r="G166" s="10">
        <f t="shared" si="2"/>
        <v>35</v>
      </c>
    </row>
    <row r="167" spans="1:7" ht="16.5" x14ac:dyDescent="0.25">
      <c r="A167" s="5" t="s">
        <v>197</v>
      </c>
      <c r="B167" s="6" t="s">
        <v>5</v>
      </c>
      <c r="C167" s="5" t="s">
        <v>8</v>
      </c>
      <c r="D167" s="7">
        <v>29044</v>
      </c>
      <c r="E167" s="8">
        <v>10.029999999999999</v>
      </c>
      <c r="F167">
        <f>VLOOKUP(A167,City_Table,2)</f>
        <v>123</v>
      </c>
      <c r="G167" s="10">
        <f t="shared" si="2"/>
        <v>236</v>
      </c>
    </row>
    <row r="168" spans="1:7" ht="16.5" x14ac:dyDescent="0.25">
      <c r="A168" s="5" t="s">
        <v>198</v>
      </c>
      <c r="B168" s="6" t="s">
        <v>2</v>
      </c>
      <c r="C168" s="5" t="s">
        <v>8</v>
      </c>
      <c r="D168" s="7">
        <v>753675</v>
      </c>
      <c r="E168" s="8">
        <v>83.84</v>
      </c>
      <c r="F168">
        <f>VLOOKUP(A168,City_Table,2)</f>
        <v>12515</v>
      </c>
      <c r="G168" s="10">
        <f t="shared" si="2"/>
        <v>60</v>
      </c>
    </row>
    <row r="169" spans="1:7" ht="16.5" x14ac:dyDescent="0.25">
      <c r="A169" s="5" t="s">
        <v>199</v>
      </c>
      <c r="B169" s="6" t="s">
        <v>5</v>
      </c>
      <c r="C169" s="5" t="s">
        <v>10</v>
      </c>
      <c r="D169" s="7">
        <v>12072</v>
      </c>
      <c r="E169" s="8">
        <v>3.93</v>
      </c>
      <c r="F169">
        <f>VLOOKUP(A169,City_Table,2)</f>
        <v>88</v>
      </c>
      <c r="G169" s="10">
        <f t="shared" si="2"/>
        <v>137</v>
      </c>
    </row>
    <row r="170" spans="1:7" ht="16.5" x14ac:dyDescent="0.25">
      <c r="A170" s="5" t="s">
        <v>200</v>
      </c>
      <c r="B170" s="6" t="s">
        <v>5</v>
      </c>
      <c r="C170" s="5" t="s">
        <v>98</v>
      </c>
      <c r="D170" s="7">
        <v>8087</v>
      </c>
      <c r="E170" s="8">
        <v>4.51</v>
      </c>
      <c r="F170">
        <f>VLOOKUP(A170,City_Table,2)</f>
        <v>27</v>
      </c>
      <c r="G170" s="10">
        <f t="shared" si="2"/>
        <v>300</v>
      </c>
    </row>
    <row r="171" spans="1:7" ht="16.5" x14ac:dyDescent="0.25">
      <c r="A171" s="5" t="s">
        <v>201</v>
      </c>
      <c r="B171" s="6" t="s">
        <v>5</v>
      </c>
      <c r="C171" s="5" t="s">
        <v>91</v>
      </c>
      <c r="D171" s="7">
        <v>7640</v>
      </c>
      <c r="E171" s="8">
        <v>6.31</v>
      </c>
      <c r="F171">
        <f>VLOOKUP(A171,City_Table,2)</f>
        <v>268</v>
      </c>
      <c r="G171" s="10">
        <f t="shared" si="2"/>
        <v>29</v>
      </c>
    </row>
    <row r="172" spans="1:7" ht="16.5" x14ac:dyDescent="0.25">
      <c r="A172" s="5" t="s">
        <v>202</v>
      </c>
      <c r="B172" s="6" t="s">
        <v>5</v>
      </c>
      <c r="C172" s="5" t="s">
        <v>203</v>
      </c>
      <c r="D172" s="7">
        <v>10655</v>
      </c>
      <c r="E172" s="8">
        <v>5.76</v>
      </c>
      <c r="F172">
        <f>VLOOKUP(A172,City_Table,2)</f>
        <v>165</v>
      </c>
      <c r="G172" s="10">
        <f t="shared" si="2"/>
        <v>65</v>
      </c>
    </row>
    <row r="173" spans="1:7" ht="16.5" x14ac:dyDescent="0.25">
      <c r="A173" s="5" t="s">
        <v>204</v>
      </c>
      <c r="B173" s="6" t="s">
        <v>5</v>
      </c>
      <c r="C173" s="5" t="s">
        <v>8</v>
      </c>
      <c r="D173" s="7">
        <v>57027</v>
      </c>
      <c r="E173" s="8">
        <v>11.67</v>
      </c>
      <c r="F173">
        <f>VLOOKUP(A173,City_Table,2)</f>
        <v>768</v>
      </c>
      <c r="G173" s="10">
        <f t="shared" si="2"/>
        <v>74</v>
      </c>
    </row>
    <row r="174" spans="1:7" ht="16.5" x14ac:dyDescent="0.25">
      <c r="A174" s="5" t="s">
        <v>12</v>
      </c>
      <c r="B174" s="6" t="s">
        <v>5</v>
      </c>
      <c r="C174" s="5" t="s">
        <v>12</v>
      </c>
      <c r="D174" s="7">
        <v>10154</v>
      </c>
      <c r="E174" s="8">
        <v>3.46</v>
      </c>
      <c r="F174">
        <f>VLOOKUP(A174,City_Table,2)</f>
        <v>741</v>
      </c>
      <c r="G174" s="10">
        <f t="shared" si="2"/>
        <v>14</v>
      </c>
    </row>
    <row r="175" spans="1:7" ht="16.5" x14ac:dyDescent="0.25">
      <c r="A175" s="5" t="s">
        <v>205</v>
      </c>
      <c r="B175" s="6" t="s">
        <v>5</v>
      </c>
      <c r="C175" s="5" t="s">
        <v>8</v>
      </c>
      <c r="D175" s="7">
        <v>13622</v>
      </c>
      <c r="E175" s="8">
        <v>7.22</v>
      </c>
      <c r="F175">
        <f>VLOOKUP(A175,City_Table,2)</f>
        <v>308</v>
      </c>
      <c r="G175" s="10">
        <f t="shared" si="2"/>
        <v>44</v>
      </c>
    </row>
    <row r="176" spans="1:7" ht="16.5" x14ac:dyDescent="0.25">
      <c r="A176" s="5" t="s">
        <v>206</v>
      </c>
      <c r="B176" s="6" t="s">
        <v>5</v>
      </c>
      <c r="C176" s="5" t="s">
        <v>78</v>
      </c>
      <c r="D176" s="7">
        <v>1603</v>
      </c>
      <c r="E176" s="8">
        <v>1.3</v>
      </c>
      <c r="F176">
        <f>VLOOKUP(A176,City_Table,2)</f>
        <v>9</v>
      </c>
      <c r="G176" s="10">
        <f t="shared" si="2"/>
        <v>178</v>
      </c>
    </row>
    <row r="177" spans="1:7" ht="16.5" x14ac:dyDescent="0.25">
      <c r="A177" s="5" t="s">
        <v>207</v>
      </c>
      <c r="B177" s="6" t="s">
        <v>5</v>
      </c>
      <c r="C177" s="5" t="s">
        <v>104</v>
      </c>
      <c r="D177" s="7">
        <v>1698</v>
      </c>
      <c r="E177" s="8">
        <v>1.63</v>
      </c>
      <c r="F177">
        <f>VLOOKUP(A177,City_Table,2)</f>
        <v>2</v>
      </c>
      <c r="G177" s="10">
        <f t="shared" si="2"/>
        <v>849</v>
      </c>
    </row>
    <row r="178" spans="1:7" ht="16.5" x14ac:dyDescent="0.25">
      <c r="A178" s="5" t="s">
        <v>208</v>
      </c>
      <c r="B178" s="6" t="s">
        <v>5</v>
      </c>
      <c r="C178" s="5" t="s">
        <v>6</v>
      </c>
      <c r="D178" s="7">
        <v>319</v>
      </c>
      <c r="E178" s="8">
        <v>0.36</v>
      </c>
      <c r="F178">
        <f>VLOOKUP(A178,City_Table,2)</f>
        <v>2</v>
      </c>
      <c r="G178" s="10">
        <f t="shared" si="2"/>
        <v>160</v>
      </c>
    </row>
    <row r="179" spans="1:7" ht="16.5" x14ac:dyDescent="0.25">
      <c r="A179" s="5" t="s">
        <v>6</v>
      </c>
      <c r="B179" s="6" t="s">
        <v>2</v>
      </c>
      <c r="C179" s="5" t="s">
        <v>6</v>
      </c>
      <c r="D179" s="7">
        <v>222081</v>
      </c>
      <c r="E179" s="8">
        <v>68.73</v>
      </c>
      <c r="F179">
        <f>VLOOKUP(A179,City_Table,2)</f>
        <v>895</v>
      </c>
      <c r="G179" s="10">
        <f t="shared" si="2"/>
        <v>248</v>
      </c>
    </row>
    <row r="180" spans="1:7" ht="16.5" x14ac:dyDescent="0.25">
      <c r="A180" s="5" t="s">
        <v>209</v>
      </c>
      <c r="B180" s="6" t="s">
        <v>5</v>
      </c>
      <c r="C180" s="5" t="s">
        <v>6</v>
      </c>
      <c r="D180" s="7">
        <v>101060</v>
      </c>
      <c r="E180" s="8">
        <v>37.71</v>
      </c>
      <c r="F180">
        <f>VLOOKUP(A180,City_Table,2)</f>
        <v>198</v>
      </c>
      <c r="G180" s="10">
        <f t="shared" si="2"/>
        <v>510</v>
      </c>
    </row>
    <row r="181" spans="1:7" ht="16.5" x14ac:dyDescent="0.25">
      <c r="A181" s="5" t="s">
        <v>210</v>
      </c>
      <c r="B181" s="6" t="s">
        <v>5</v>
      </c>
      <c r="C181" s="5" t="s">
        <v>67</v>
      </c>
      <c r="D181" s="7">
        <v>460</v>
      </c>
      <c r="E181" s="8">
        <v>0.63</v>
      </c>
      <c r="F181">
        <f>VLOOKUP(A181,City_Table,2)</f>
        <v>1</v>
      </c>
      <c r="G181" s="10">
        <f t="shared" si="2"/>
        <v>460</v>
      </c>
    </row>
    <row r="182" spans="1:7" ht="16.5" x14ac:dyDescent="0.25">
      <c r="A182" s="5" t="s">
        <v>211</v>
      </c>
      <c r="B182" s="6" t="s">
        <v>5</v>
      </c>
      <c r="C182" s="5" t="s">
        <v>12</v>
      </c>
      <c r="D182" s="7">
        <v>7287</v>
      </c>
      <c r="E182" s="8">
        <v>2.82</v>
      </c>
      <c r="F182">
        <f>VLOOKUP(A182,City_Table,2)</f>
        <v>164</v>
      </c>
      <c r="G182" s="10">
        <f t="shared" si="2"/>
        <v>44</v>
      </c>
    </row>
    <row r="183" spans="1:7" ht="16.5" x14ac:dyDescent="0.25">
      <c r="A183" s="5" t="s">
        <v>212</v>
      </c>
      <c r="B183" s="6" t="s">
        <v>5</v>
      </c>
      <c r="C183" s="5" t="s">
        <v>157</v>
      </c>
      <c r="D183" s="7">
        <v>1601</v>
      </c>
      <c r="E183" s="8">
        <v>1.65</v>
      </c>
      <c r="F183">
        <f>VLOOKUP(A183,City_Table,2)</f>
        <v>23</v>
      </c>
      <c r="G183" s="10">
        <f t="shared" si="2"/>
        <v>70</v>
      </c>
    </row>
    <row r="184" spans="1:7" ht="16.5" x14ac:dyDescent="0.25">
      <c r="A184" s="5" t="s">
        <v>213</v>
      </c>
      <c r="B184" s="6" t="s">
        <v>5</v>
      </c>
      <c r="C184" s="5" t="s">
        <v>12</v>
      </c>
      <c r="D184" s="7">
        <v>5388</v>
      </c>
      <c r="E184" s="8">
        <v>3.15</v>
      </c>
      <c r="F184">
        <f>VLOOKUP(A184,City_Table,2)</f>
        <v>40</v>
      </c>
      <c r="G184" s="10">
        <f t="shared" si="2"/>
        <v>135</v>
      </c>
    </row>
    <row r="185" spans="1:7" ht="16.5" x14ac:dyDescent="0.25">
      <c r="A185" s="5" t="s">
        <v>214</v>
      </c>
      <c r="B185" s="6" t="s">
        <v>5</v>
      </c>
      <c r="C185" s="5" t="s">
        <v>21</v>
      </c>
      <c r="D185" s="7">
        <v>1534</v>
      </c>
      <c r="E185" s="8">
        <v>1.48</v>
      </c>
      <c r="F185">
        <f>VLOOKUP(A185,City_Table,2)</f>
        <v>7</v>
      </c>
      <c r="G185" s="10">
        <f t="shared" si="2"/>
        <v>219</v>
      </c>
    </row>
    <row r="186" spans="1:7" ht="16.5" x14ac:dyDescent="0.25">
      <c r="A186" s="5" t="s">
        <v>215</v>
      </c>
      <c r="B186" s="6" t="s">
        <v>5</v>
      </c>
      <c r="C186" s="5" t="s">
        <v>29</v>
      </c>
      <c r="D186" s="7">
        <v>10427</v>
      </c>
      <c r="E186" s="8">
        <v>7.51</v>
      </c>
      <c r="F186">
        <f>VLOOKUP(A186,City_Table,2)</f>
        <v>46</v>
      </c>
      <c r="G186" s="10">
        <f t="shared" si="2"/>
        <v>227</v>
      </c>
    </row>
    <row r="187" spans="1:7" ht="16.5" x14ac:dyDescent="0.25">
      <c r="A187" s="5" t="s">
        <v>216</v>
      </c>
      <c r="B187" s="6" t="s">
        <v>5</v>
      </c>
      <c r="C187" s="5" t="s">
        <v>98</v>
      </c>
      <c r="D187" s="7">
        <v>16796</v>
      </c>
      <c r="E187" s="8">
        <v>6.63</v>
      </c>
      <c r="F187">
        <f>VLOOKUP(A187,City_Table,2)</f>
        <v>18</v>
      </c>
      <c r="G187" s="10">
        <f t="shared" si="2"/>
        <v>933</v>
      </c>
    </row>
    <row r="188" spans="1:7" ht="16.5" x14ac:dyDescent="0.25">
      <c r="A188" s="5" t="s">
        <v>217</v>
      </c>
      <c r="B188" s="6" t="s">
        <v>2</v>
      </c>
      <c r="C188" s="5" t="s">
        <v>29</v>
      </c>
      <c r="D188" s="7">
        <v>217827</v>
      </c>
      <c r="E188" s="8">
        <v>49.73</v>
      </c>
      <c r="F188">
        <f>VLOOKUP(A188,City_Table,2)</f>
        <v>1426</v>
      </c>
      <c r="G188" s="10">
        <f t="shared" si="2"/>
        <v>153</v>
      </c>
    </row>
    <row r="189" spans="1:7" ht="16.5" x14ac:dyDescent="0.25">
      <c r="A189" s="5" t="s">
        <v>218</v>
      </c>
      <c r="B189" s="6" t="s">
        <v>57</v>
      </c>
      <c r="C189" s="5" t="s">
        <v>58</v>
      </c>
      <c r="D189" s="7">
        <v>799</v>
      </c>
      <c r="E189" s="8">
        <v>1.1399999999999999</v>
      </c>
      <c r="F189">
        <f>VLOOKUP(A189,City_Table,2)</f>
        <v>1</v>
      </c>
      <c r="G189" s="10">
        <f t="shared" si="2"/>
        <v>799</v>
      </c>
    </row>
    <row r="190" spans="1:7" ht="16.5" x14ac:dyDescent="0.25">
      <c r="A190" s="5" t="s">
        <v>219</v>
      </c>
      <c r="B190" s="6" t="s">
        <v>5</v>
      </c>
      <c r="C190" s="5" t="s">
        <v>116</v>
      </c>
      <c r="D190" s="7">
        <v>1865</v>
      </c>
      <c r="E190" s="8">
        <v>1.44</v>
      </c>
      <c r="F190">
        <f>VLOOKUP(A190,City_Table,2)</f>
        <v>46</v>
      </c>
      <c r="G190" s="10">
        <f t="shared" si="2"/>
        <v>41</v>
      </c>
    </row>
    <row r="191" spans="1:7" ht="16.5" x14ac:dyDescent="0.25">
      <c r="A191" s="5" t="s">
        <v>220</v>
      </c>
      <c r="B191" s="6" t="s">
        <v>5</v>
      </c>
      <c r="C191" s="5" t="s">
        <v>98</v>
      </c>
      <c r="D191" s="7">
        <v>1308</v>
      </c>
      <c r="E191" s="8">
        <v>0.82</v>
      </c>
      <c r="F191">
        <f>VLOOKUP(A191,City_Table,2)</f>
        <v>3</v>
      </c>
      <c r="G191" s="10">
        <f t="shared" si="2"/>
        <v>436</v>
      </c>
    </row>
    <row r="192" spans="1:7" ht="16.5" x14ac:dyDescent="0.25">
      <c r="A192" s="5" t="s">
        <v>221</v>
      </c>
      <c r="B192" s="6" t="s">
        <v>5</v>
      </c>
      <c r="C192" s="5" t="s">
        <v>47</v>
      </c>
      <c r="D192" s="7">
        <v>771</v>
      </c>
      <c r="E192" s="8">
        <v>0.4</v>
      </c>
      <c r="F192">
        <f>VLOOKUP(A192,City_Table,2)</f>
        <v>16</v>
      </c>
      <c r="G192" s="10">
        <f t="shared" si="2"/>
        <v>48</v>
      </c>
    </row>
    <row r="193" spans="1:7" ht="16.5" x14ac:dyDescent="0.25">
      <c r="A193" s="5" t="s">
        <v>222</v>
      </c>
      <c r="B193" s="6" t="s">
        <v>5</v>
      </c>
      <c r="C193" s="5" t="s">
        <v>33</v>
      </c>
      <c r="D193" s="7">
        <v>1121</v>
      </c>
      <c r="E193" s="8">
        <v>0.8</v>
      </c>
      <c r="F193">
        <f>VLOOKUP(A193,City_Table,2)</f>
        <v>7</v>
      </c>
      <c r="G193" s="10">
        <f t="shared" si="2"/>
        <v>160</v>
      </c>
    </row>
    <row r="194" spans="1:7" ht="16.5" x14ac:dyDescent="0.25">
      <c r="A194" s="5" t="s">
        <v>223</v>
      </c>
      <c r="B194" s="6" t="s">
        <v>5</v>
      </c>
      <c r="C194" s="5" t="s">
        <v>98</v>
      </c>
      <c r="D194" s="7">
        <v>8809</v>
      </c>
      <c r="E194" s="8">
        <v>2.11</v>
      </c>
      <c r="F194">
        <f>VLOOKUP(A194,City_Table,2)</f>
        <v>9</v>
      </c>
      <c r="G194" s="10">
        <f t="shared" si="2"/>
        <v>979</v>
      </c>
    </row>
    <row r="195" spans="1:7" ht="16.5" x14ac:dyDescent="0.25">
      <c r="A195" s="5" t="s">
        <v>224</v>
      </c>
      <c r="B195" s="6" t="s">
        <v>5</v>
      </c>
      <c r="C195" s="5" t="s">
        <v>8</v>
      </c>
      <c r="D195" s="7">
        <v>20347</v>
      </c>
      <c r="E195" s="8">
        <v>9.17</v>
      </c>
      <c r="F195">
        <f>VLOOKUP(A195,City_Table,2)</f>
        <v>140</v>
      </c>
      <c r="G195" s="10">
        <f t="shared" si="2"/>
        <v>145</v>
      </c>
    </row>
    <row r="196" spans="1:7" ht="16.5" x14ac:dyDescent="0.25">
      <c r="A196" s="5" t="s">
        <v>225</v>
      </c>
      <c r="B196" s="6" t="s">
        <v>5</v>
      </c>
      <c r="C196" s="5" t="s">
        <v>116</v>
      </c>
      <c r="D196" s="7">
        <v>24024</v>
      </c>
      <c r="E196" s="8">
        <v>14.32</v>
      </c>
      <c r="F196">
        <f>VLOOKUP(A196,City_Table,2)</f>
        <v>254</v>
      </c>
      <c r="G196" s="10">
        <f t="shared" si="2"/>
        <v>95</v>
      </c>
    </row>
    <row r="197" spans="1:7" ht="16.5" x14ac:dyDescent="0.25">
      <c r="A197" s="5" t="s">
        <v>226</v>
      </c>
      <c r="B197" s="6" t="s">
        <v>5</v>
      </c>
      <c r="C197" s="5" t="s">
        <v>98</v>
      </c>
      <c r="D197" s="7">
        <v>6200</v>
      </c>
      <c r="E197" s="8">
        <v>5.0599999999999996</v>
      </c>
      <c r="F197">
        <f>VLOOKUP(A197,City_Table,2)</f>
        <v>2</v>
      </c>
      <c r="G197" s="10">
        <f t="shared" si="2"/>
        <v>3100</v>
      </c>
    </row>
    <row r="198" spans="1:7" ht="16.5" x14ac:dyDescent="0.25">
      <c r="A198" s="5" t="s">
        <v>227</v>
      </c>
      <c r="B198" s="6" t="s">
        <v>5</v>
      </c>
      <c r="C198" s="5" t="s">
        <v>29</v>
      </c>
      <c r="D198" s="7">
        <v>34001</v>
      </c>
      <c r="E198" s="8">
        <v>8.43</v>
      </c>
      <c r="F198">
        <f>VLOOKUP(A198,City_Table,2)</f>
        <v>284</v>
      </c>
      <c r="G198" s="10">
        <f t="shared" ref="G198:G216" si="3">ROUND(D198/F198,0)</f>
        <v>120</v>
      </c>
    </row>
    <row r="199" spans="1:7" ht="16.5" x14ac:dyDescent="0.25">
      <c r="A199" s="5" t="s">
        <v>228</v>
      </c>
      <c r="B199" s="6" t="s">
        <v>5</v>
      </c>
      <c r="C199" s="5" t="s">
        <v>47</v>
      </c>
      <c r="D199" s="7">
        <v>670</v>
      </c>
      <c r="E199" s="8">
        <v>0.93</v>
      </c>
      <c r="F199">
        <f>VLOOKUP(A199,City_Table,2)</f>
        <v>2</v>
      </c>
      <c r="G199" s="10">
        <f t="shared" si="3"/>
        <v>335</v>
      </c>
    </row>
    <row r="200" spans="1:7" ht="16.5" x14ac:dyDescent="0.25">
      <c r="A200" s="5" t="s">
        <v>229</v>
      </c>
      <c r="B200" s="6" t="s">
        <v>2</v>
      </c>
      <c r="C200" s="5" t="s">
        <v>18</v>
      </c>
      <c r="D200" s="7">
        <v>184463</v>
      </c>
      <c r="E200" s="8">
        <v>46.78</v>
      </c>
      <c r="F200">
        <f>VLOOKUP(A200,City_Table,2)</f>
        <v>2117</v>
      </c>
      <c r="G200" s="10">
        <f t="shared" si="3"/>
        <v>87</v>
      </c>
    </row>
    <row r="201" spans="1:7" ht="16.5" x14ac:dyDescent="0.25">
      <c r="A201" s="5" t="s">
        <v>230</v>
      </c>
      <c r="B201" s="6" t="s">
        <v>231</v>
      </c>
      <c r="C201" s="5" t="s">
        <v>60</v>
      </c>
      <c r="D201" s="7">
        <v>1231</v>
      </c>
      <c r="E201" s="8">
        <v>1.1200000000000001</v>
      </c>
      <c r="F201">
        <f>VLOOKUP(A201,City_Table,2)</f>
        <v>7</v>
      </c>
      <c r="G201" s="10">
        <f t="shared" si="3"/>
        <v>176</v>
      </c>
    </row>
    <row r="202" spans="1:7" ht="16.5" x14ac:dyDescent="0.25">
      <c r="A202" s="5" t="s">
        <v>60</v>
      </c>
      <c r="B202" s="6" t="s">
        <v>5</v>
      </c>
      <c r="C202" s="5" t="s">
        <v>60</v>
      </c>
      <c r="D202" s="7">
        <v>32900</v>
      </c>
      <c r="E202" s="8">
        <v>12.8</v>
      </c>
      <c r="F202">
        <f>VLOOKUP(A202,City_Table,2)</f>
        <v>123</v>
      </c>
      <c r="G202" s="10">
        <f t="shared" si="3"/>
        <v>267</v>
      </c>
    </row>
    <row r="203" spans="1:7" ht="16.5" x14ac:dyDescent="0.25">
      <c r="A203" s="5" t="s">
        <v>232</v>
      </c>
      <c r="B203" s="6" t="s">
        <v>57</v>
      </c>
      <c r="C203" s="5" t="s">
        <v>98</v>
      </c>
      <c r="D203" s="7">
        <v>5010</v>
      </c>
      <c r="E203" s="8">
        <v>1.17</v>
      </c>
      <c r="F203">
        <f>VLOOKUP(A203,City_Table,2)</f>
        <v>3</v>
      </c>
      <c r="G203" s="10">
        <f t="shared" si="3"/>
        <v>1670</v>
      </c>
    </row>
    <row r="204" spans="1:7" ht="16.5" x14ac:dyDescent="0.25">
      <c r="A204" s="5" t="s">
        <v>233</v>
      </c>
      <c r="B204" s="6" t="s">
        <v>5</v>
      </c>
      <c r="C204" s="5" t="s">
        <v>78</v>
      </c>
      <c r="D204" s="7">
        <v>2812</v>
      </c>
      <c r="E204" s="8">
        <v>2.66</v>
      </c>
      <c r="F204">
        <f>VLOOKUP(A204,City_Table,2)</f>
        <v>3</v>
      </c>
      <c r="G204" s="10">
        <f t="shared" si="3"/>
        <v>937</v>
      </c>
    </row>
    <row r="205" spans="1:7" ht="16.5" x14ac:dyDescent="0.25">
      <c r="A205" s="5" t="s">
        <v>234</v>
      </c>
      <c r="B205" s="6" t="s">
        <v>5</v>
      </c>
      <c r="C205" s="5" t="s">
        <v>18</v>
      </c>
      <c r="D205" s="7">
        <v>16107</v>
      </c>
      <c r="E205" s="8">
        <v>5.47</v>
      </c>
      <c r="F205">
        <f>VLOOKUP(A205,City_Table,2)</f>
        <v>196</v>
      </c>
      <c r="G205" s="10">
        <f t="shared" si="3"/>
        <v>82</v>
      </c>
    </row>
    <row r="206" spans="1:7" ht="16.5" x14ac:dyDescent="0.25">
      <c r="A206" s="5" t="s">
        <v>235</v>
      </c>
      <c r="B206" s="6" t="s">
        <v>5</v>
      </c>
      <c r="C206" s="5" t="s">
        <v>43</v>
      </c>
      <c r="D206" s="7">
        <v>34360</v>
      </c>
      <c r="E206" s="8">
        <v>7.86</v>
      </c>
      <c r="F206">
        <f>VLOOKUP(A206,City_Table,2)</f>
        <v>138</v>
      </c>
      <c r="G206" s="10">
        <f t="shared" si="3"/>
        <v>249</v>
      </c>
    </row>
    <row r="207" spans="1:7" ht="16.5" x14ac:dyDescent="0.25">
      <c r="A207" s="5" t="s">
        <v>236</v>
      </c>
      <c r="B207" s="6" t="s">
        <v>5</v>
      </c>
      <c r="C207" s="5" t="s">
        <v>23</v>
      </c>
      <c r="D207" s="7">
        <v>15075</v>
      </c>
      <c r="E207" s="8">
        <v>21.97</v>
      </c>
      <c r="F207">
        <f>VLOOKUP(A207,City_Table,2)</f>
        <v>57</v>
      </c>
      <c r="G207" s="10">
        <f t="shared" si="3"/>
        <v>264</v>
      </c>
    </row>
    <row r="208" spans="1:7" ht="16.5" x14ac:dyDescent="0.25">
      <c r="A208" s="5" t="s">
        <v>237</v>
      </c>
      <c r="B208" s="6" t="s">
        <v>5</v>
      </c>
      <c r="C208" s="5" t="s">
        <v>3</v>
      </c>
      <c r="D208" s="7">
        <v>2100</v>
      </c>
      <c r="E208" s="8">
        <v>3.68</v>
      </c>
      <c r="F208">
        <f>VLOOKUP(A208,City_Table,2)</f>
        <v>7</v>
      </c>
      <c r="G208" s="10">
        <f t="shared" si="3"/>
        <v>300</v>
      </c>
    </row>
    <row r="209" spans="1:7" ht="16.5" x14ac:dyDescent="0.25">
      <c r="A209" s="5" t="s">
        <v>238</v>
      </c>
      <c r="B209" s="6" t="s">
        <v>5</v>
      </c>
      <c r="C209" s="5" t="s">
        <v>25</v>
      </c>
      <c r="D209" s="7">
        <v>2691</v>
      </c>
      <c r="E209" s="8">
        <v>1.24</v>
      </c>
      <c r="F209">
        <f>VLOOKUP(A209,City_Table,2)</f>
        <v>54</v>
      </c>
      <c r="G209" s="10">
        <f t="shared" si="3"/>
        <v>50</v>
      </c>
    </row>
    <row r="210" spans="1:7" ht="16.5" x14ac:dyDescent="0.25">
      <c r="A210" s="5" t="s">
        <v>239</v>
      </c>
      <c r="B210" s="6" t="s">
        <v>5</v>
      </c>
      <c r="C210" s="5" t="s">
        <v>47</v>
      </c>
      <c r="D210" s="7">
        <v>1428</v>
      </c>
      <c r="E210" s="8">
        <v>1.29</v>
      </c>
      <c r="F210">
        <f>VLOOKUP(A210,City_Table,2)</f>
        <v>22</v>
      </c>
      <c r="G210" s="10">
        <f t="shared" si="3"/>
        <v>65</v>
      </c>
    </row>
    <row r="211" spans="1:7" ht="16.5" x14ac:dyDescent="0.25">
      <c r="A211" s="5" t="s">
        <v>240</v>
      </c>
      <c r="B211" s="6" t="s">
        <v>5</v>
      </c>
      <c r="C211" s="5" t="s">
        <v>8</v>
      </c>
      <c r="D211" s="7">
        <v>13263</v>
      </c>
      <c r="E211" s="8">
        <v>5.6</v>
      </c>
      <c r="F211">
        <f>VLOOKUP(A211,City_Table,2)</f>
        <v>1044</v>
      </c>
      <c r="G211" s="10">
        <f t="shared" si="3"/>
        <v>13</v>
      </c>
    </row>
    <row r="212" spans="1:7" ht="15.75" customHeight="1" x14ac:dyDescent="0.25">
      <c r="A212" s="5" t="s">
        <v>241</v>
      </c>
      <c r="B212" s="6" t="s">
        <v>5</v>
      </c>
      <c r="C212" s="5" t="s">
        <v>45</v>
      </c>
      <c r="D212" s="7">
        <v>6495</v>
      </c>
      <c r="E212" s="8">
        <v>4.05</v>
      </c>
      <c r="F212">
        <f>VLOOKUP(A212,City_Table,2)</f>
        <v>51</v>
      </c>
      <c r="G212" s="10">
        <f t="shared" si="3"/>
        <v>127</v>
      </c>
    </row>
    <row r="213" spans="1:7" ht="16.5" x14ac:dyDescent="0.25">
      <c r="A213" s="5" t="s">
        <v>242</v>
      </c>
      <c r="B213" s="6" t="s">
        <v>5</v>
      </c>
      <c r="C213" s="5" t="s">
        <v>12</v>
      </c>
      <c r="D213" s="7">
        <v>1391</v>
      </c>
      <c r="E213" s="8">
        <v>1.1100000000000001</v>
      </c>
      <c r="F213">
        <f>VLOOKUP(A213,City_Table,2)</f>
        <v>46</v>
      </c>
      <c r="G213" s="10">
        <f t="shared" si="3"/>
        <v>30</v>
      </c>
    </row>
    <row r="214" spans="1:7" ht="16.5" x14ac:dyDescent="0.25">
      <c r="A214" s="5" t="s">
        <v>98</v>
      </c>
      <c r="B214" s="6" t="s">
        <v>2</v>
      </c>
      <c r="C214" s="5" t="s">
        <v>98</v>
      </c>
      <c r="D214" s="7">
        <v>93637</v>
      </c>
      <c r="E214" s="8">
        <v>27.63</v>
      </c>
      <c r="F214">
        <f>VLOOKUP(A214,City_Table,2)</f>
        <v>192</v>
      </c>
      <c r="G214" s="10">
        <f t="shared" si="3"/>
        <v>488</v>
      </c>
    </row>
    <row r="215" spans="1:7" ht="16.5" x14ac:dyDescent="0.25">
      <c r="A215" s="5" t="s">
        <v>243</v>
      </c>
      <c r="B215" s="6" t="s">
        <v>5</v>
      </c>
      <c r="C215" s="5" t="s">
        <v>116</v>
      </c>
      <c r="D215" s="7">
        <v>9456</v>
      </c>
      <c r="E215" s="8">
        <v>5.68</v>
      </c>
      <c r="F215">
        <f>VLOOKUP(A215,City_Table,2)</f>
        <v>103</v>
      </c>
      <c r="G215" s="10">
        <f t="shared" si="3"/>
        <v>92</v>
      </c>
    </row>
    <row r="216" spans="1:7" ht="16.5" x14ac:dyDescent="0.25">
      <c r="A216" s="5" t="s">
        <v>244</v>
      </c>
      <c r="B216" s="6" t="s">
        <v>5</v>
      </c>
      <c r="C216" s="5" t="s">
        <v>98</v>
      </c>
      <c r="D216" s="7">
        <v>3140</v>
      </c>
      <c r="E216" s="8">
        <v>1.85</v>
      </c>
      <c r="F216">
        <f>VLOOKUP(A216,City_Table,2)</f>
        <v>9</v>
      </c>
      <c r="G216" s="10">
        <f t="shared" si="3"/>
        <v>349</v>
      </c>
    </row>
  </sheetData>
  <autoFilter ref="A4:G216" xr:uid="{FB2BF58F-E4A2-4076-804E-D9AFBB3328DA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BC6BB-82ED-481F-B74B-CFC9E666E79B}">
  <dimension ref="A1:E438"/>
  <sheetViews>
    <sheetView workbookViewId="0">
      <selection activeCell="D24" sqref="D24"/>
    </sheetView>
  </sheetViews>
  <sheetFormatPr defaultRowHeight="15.75" x14ac:dyDescent="0.25"/>
  <cols>
    <col min="1" max="1" width="18.5" customWidth="1"/>
    <col min="2" max="2" width="15.5" customWidth="1"/>
  </cols>
  <sheetData>
    <row r="1" spans="1:5" x14ac:dyDescent="0.25">
      <c r="A1" s="2" t="s">
        <v>311</v>
      </c>
      <c r="B1" s="2" t="s">
        <v>681</v>
      </c>
      <c r="D1" t="s">
        <v>719</v>
      </c>
      <c r="E1">
        <f>SUM(B2:B438)</f>
        <v>64459</v>
      </c>
    </row>
    <row r="2" spans="1:5" x14ac:dyDescent="0.25">
      <c r="A2" s="5" t="s">
        <v>1</v>
      </c>
      <c r="B2">
        <v>63</v>
      </c>
    </row>
    <row r="3" spans="1:5" x14ac:dyDescent="0.25">
      <c r="A3" s="9" t="s">
        <v>245</v>
      </c>
      <c r="B3" s="9">
        <v>3</v>
      </c>
    </row>
    <row r="4" spans="1:5" x14ac:dyDescent="0.25">
      <c r="A4" s="9" t="s">
        <v>246</v>
      </c>
      <c r="B4" s="9">
        <v>1</v>
      </c>
    </row>
    <row r="5" spans="1:5" x14ac:dyDescent="0.25">
      <c r="A5" t="s">
        <v>247</v>
      </c>
      <c r="B5">
        <v>8</v>
      </c>
    </row>
    <row r="6" spans="1:5" x14ac:dyDescent="0.25">
      <c r="A6" t="s">
        <v>248</v>
      </c>
      <c r="B6">
        <v>4</v>
      </c>
    </row>
    <row r="7" spans="1:5" x14ac:dyDescent="0.25">
      <c r="A7" t="s">
        <v>249</v>
      </c>
      <c r="B7">
        <v>9</v>
      </c>
    </row>
    <row r="8" spans="1:5" x14ac:dyDescent="0.25">
      <c r="A8" t="s">
        <v>250</v>
      </c>
      <c r="B8">
        <v>21</v>
      </c>
    </row>
    <row r="9" spans="1:5" x14ac:dyDescent="0.25">
      <c r="A9" t="s">
        <v>251</v>
      </c>
      <c r="B9">
        <v>1</v>
      </c>
    </row>
    <row r="10" spans="1:5" x14ac:dyDescent="0.25">
      <c r="A10" t="s">
        <v>252</v>
      </c>
      <c r="B10">
        <v>2</v>
      </c>
    </row>
    <row r="11" spans="1:5" x14ac:dyDescent="0.25">
      <c r="A11" t="s">
        <v>253</v>
      </c>
      <c r="B11">
        <v>6</v>
      </c>
    </row>
    <row r="12" spans="1:5" x14ac:dyDescent="0.25">
      <c r="A12" t="s">
        <v>254</v>
      </c>
      <c r="B12">
        <v>287</v>
      </c>
    </row>
    <row r="13" spans="1:5" x14ac:dyDescent="0.25">
      <c r="A13" t="s">
        <v>255</v>
      </c>
      <c r="B13">
        <v>1</v>
      </c>
    </row>
    <row r="14" spans="1:5" x14ac:dyDescent="0.25">
      <c r="A14" t="s">
        <v>256</v>
      </c>
      <c r="B14">
        <v>13</v>
      </c>
    </row>
    <row r="15" spans="1:5" x14ac:dyDescent="0.25">
      <c r="A15" t="s">
        <v>257</v>
      </c>
      <c r="B15">
        <v>1</v>
      </c>
    </row>
    <row r="16" spans="1:5" x14ac:dyDescent="0.25">
      <c r="A16" t="s">
        <v>258</v>
      </c>
      <c r="B16">
        <v>1</v>
      </c>
    </row>
    <row r="17" spans="1:2" x14ac:dyDescent="0.25">
      <c r="A17" t="s">
        <v>259</v>
      </c>
      <c r="B17">
        <v>2</v>
      </c>
    </row>
    <row r="18" spans="1:2" x14ac:dyDescent="0.25">
      <c r="A18" t="s">
        <v>260</v>
      </c>
      <c r="B18">
        <v>172</v>
      </c>
    </row>
    <row r="19" spans="1:2" x14ac:dyDescent="0.25">
      <c r="A19" t="s">
        <v>261</v>
      </c>
      <c r="B19">
        <v>3</v>
      </c>
    </row>
    <row r="20" spans="1:2" x14ac:dyDescent="0.25">
      <c r="A20" t="s">
        <v>262</v>
      </c>
      <c r="B20">
        <v>4</v>
      </c>
    </row>
    <row r="21" spans="1:2" x14ac:dyDescent="0.25">
      <c r="A21" t="s">
        <v>263</v>
      </c>
      <c r="B21">
        <v>1</v>
      </c>
    </row>
    <row r="22" spans="1:2" x14ac:dyDescent="0.25">
      <c r="A22" t="s">
        <v>264</v>
      </c>
      <c r="B22">
        <v>629</v>
      </c>
    </row>
    <row r="23" spans="1:2" x14ac:dyDescent="0.25">
      <c r="A23" t="s">
        <v>265</v>
      </c>
      <c r="B23">
        <v>1</v>
      </c>
    </row>
    <row r="24" spans="1:2" x14ac:dyDescent="0.25">
      <c r="A24" t="s">
        <v>266</v>
      </c>
      <c r="B24">
        <v>746</v>
      </c>
    </row>
    <row r="25" spans="1:2" x14ac:dyDescent="0.25">
      <c r="A25" t="s">
        <v>267</v>
      </c>
      <c r="B25">
        <v>1</v>
      </c>
    </row>
    <row r="26" spans="1:2" x14ac:dyDescent="0.25">
      <c r="A26" t="s">
        <v>268</v>
      </c>
      <c r="B26">
        <v>204</v>
      </c>
    </row>
    <row r="27" spans="1:2" x14ac:dyDescent="0.25">
      <c r="A27" t="s">
        <v>269</v>
      </c>
      <c r="B27">
        <v>1</v>
      </c>
    </row>
    <row r="28" spans="1:2" x14ac:dyDescent="0.25">
      <c r="A28" t="s">
        <v>270</v>
      </c>
      <c r="B28">
        <v>21</v>
      </c>
    </row>
    <row r="29" spans="1:2" x14ac:dyDescent="0.25">
      <c r="A29" t="s">
        <v>271</v>
      </c>
      <c r="B29">
        <v>2</v>
      </c>
    </row>
    <row r="30" spans="1:2" x14ac:dyDescent="0.25">
      <c r="A30" t="s">
        <v>272</v>
      </c>
      <c r="B30">
        <v>52</v>
      </c>
    </row>
    <row r="31" spans="1:2" x14ac:dyDescent="0.25">
      <c r="A31" t="s">
        <v>273</v>
      </c>
      <c r="B31">
        <v>3492</v>
      </c>
    </row>
    <row r="32" spans="1:2" x14ac:dyDescent="0.25">
      <c r="A32" t="s">
        <v>274</v>
      </c>
      <c r="B32">
        <v>1218</v>
      </c>
    </row>
    <row r="33" spans="1:2" x14ac:dyDescent="0.25">
      <c r="A33" t="s">
        <v>275</v>
      </c>
      <c r="B33">
        <v>24</v>
      </c>
    </row>
    <row r="34" spans="1:2" x14ac:dyDescent="0.25">
      <c r="A34" t="s">
        <v>276</v>
      </c>
      <c r="B34">
        <v>53</v>
      </c>
    </row>
    <row r="35" spans="1:2" x14ac:dyDescent="0.25">
      <c r="A35" t="s">
        <v>277</v>
      </c>
      <c r="B35">
        <v>173</v>
      </c>
    </row>
    <row r="36" spans="1:2" x14ac:dyDescent="0.25">
      <c r="A36" t="s">
        <v>278</v>
      </c>
      <c r="B36">
        <v>246</v>
      </c>
    </row>
    <row r="37" spans="1:2" x14ac:dyDescent="0.25">
      <c r="A37" t="s">
        <v>279</v>
      </c>
      <c r="B37">
        <v>1757</v>
      </c>
    </row>
    <row r="38" spans="1:2" x14ac:dyDescent="0.25">
      <c r="A38" t="s">
        <v>280</v>
      </c>
      <c r="B38">
        <v>38</v>
      </c>
    </row>
    <row r="39" spans="1:2" x14ac:dyDescent="0.25">
      <c r="A39" t="s">
        <v>281</v>
      </c>
      <c r="B39">
        <v>434</v>
      </c>
    </row>
    <row r="40" spans="1:2" x14ac:dyDescent="0.25">
      <c r="A40" t="s">
        <v>282</v>
      </c>
      <c r="B40">
        <v>3</v>
      </c>
    </row>
    <row r="41" spans="1:2" x14ac:dyDescent="0.25">
      <c r="A41" t="s">
        <v>283</v>
      </c>
      <c r="B41">
        <v>94</v>
      </c>
    </row>
    <row r="42" spans="1:2" x14ac:dyDescent="0.25">
      <c r="A42" t="s">
        <v>284</v>
      </c>
      <c r="B42">
        <v>12</v>
      </c>
    </row>
    <row r="43" spans="1:2" x14ac:dyDescent="0.25">
      <c r="A43" t="s">
        <v>285</v>
      </c>
      <c r="B43">
        <v>91</v>
      </c>
    </row>
    <row r="44" spans="1:2" x14ac:dyDescent="0.25">
      <c r="A44" t="s">
        <v>286</v>
      </c>
      <c r="B44">
        <v>74</v>
      </c>
    </row>
    <row r="45" spans="1:2" x14ac:dyDescent="0.25">
      <c r="A45" t="s">
        <v>287</v>
      </c>
      <c r="B45">
        <v>1</v>
      </c>
    </row>
    <row r="46" spans="1:2" x14ac:dyDescent="0.25">
      <c r="A46" t="s">
        <v>288</v>
      </c>
      <c r="B46">
        <v>6</v>
      </c>
    </row>
    <row r="47" spans="1:2" x14ac:dyDescent="0.25">
      <c r="A47" t="s">
        <v>289</v>
      </c>
      <c r="B47">
        <v>307</v>
      </c>
    </row>
    <row r="48" spans="1:2" x14ac:dyDescent="0.25">
      <c r="A48" t="s">
        <v>290</v>
      </c>
      <c r="B48">
        <v>44</v>
      </c>
    </row>
    <row r="49" spans="1:2" x14ac:dyDescent="0.25">
      <c r="A49" t="s">
        <v>291</v>
      </c>
      <c r="B49">
        <v>182</v>
      </c>
    </row>
    <row r="50" spans="1:2" x14ac:dyDescent="0.25">
      <c r="A50" t="s">
        <v>292</v>
      </c>
      <c r="B50">
        <v>510</v>
      </c>
    </row>
    <row r="51" spans="1:2" x14ac:dyDescent="0.25">
      <c r="A51" t="s">
        <v>293</v>
      </c>
      <c r="B51">
        <v>3</v>
      </c>
    </row>
    <row r="52" spans="1:2" x14ac:dyDescent="0.25">
      <c r="A52" t="s">
        <v>294</v>
      </c>
      <c r="B52">
        <v>4</v>
      </c>
    </row>
    <row r="53" spans="1:2" x14ac:dyDescent="0.25">
      <c r="A53" t="s">
        <v>295</v>
      </c>
      <c r="B53">
        <v>138</v>
      </c>
    </row>
    <row r="54" spans="1:2" x14ac:dyDescent="0.25">
      <c r="A54" t="s">
        <v>296</v>
      </c>
      <c r="B54">
        <v>2</v>
      </c>
    </row>
    <row r="55" spans="1:2" x14ac:dyDescent="0.25">
      <c r="A55" t="s">
        <v>297</v>
      </c>
      <c r="B55">
        <v>22</v>
      </c>
    </row>
    <row r="56" spans="1:2" x14ac:dyDescent="0.25">
      <c r="A56" t="s">
        <v>298</v>
      </c>
      <c r="B56">
        <v>18</v>
      </c>
    </row>
    <row r="57" spans="1:2" x14ac:dyDescent="0.25">
      <c r="A57" t="s">
        <v>299</v>
      </c>
      <c r="B57">
        <v>12</v>
      </c>
    </row>
    <row r="58" spans="1:2" x14ac:dyDescent="0.25">
      <c r="A58" t="s">
        <v>300</v>
      </c>
      <c r="B58">
        <v>1</v>
      </c>
    </row>
    <row r="59" spans="1:2" x14ac:dyDescent="0.25">
      <c r="A59" t="s">
        <v>301</v>
      </c>
      <c r="B59">
        <v>75</v>
      </c>
    </row>
    <row r="60" spans="1:2" x14ac:dyDescent="0.25">
      <c r="A60" t="s">
        <v>302</v>
      </c>
      <c r="B60">
        <v>10</v>
      </c>
    </row>
    <row r="61" spans="1:2" x14ac:dyDescent="0.25">
      <c r="A61" t="s">
        <v>303</v>
      </c>
      <c r="B61">
        <v>75</v>
      </c>
    </row>
    <row r="62" spans="1:2" x14ac:dyDescent="0.25">
      <c r="A62" t="s">
        <v>304</v>
      </c>
      <c r="B62">
        <v>50</v>
      </c>
    </row>
    <row r="63" spans="1:2" x14ac:dyDescent="0.25">
      <c r="A63" t="s">
        <v>305</v>
      </c>
      <c r="B63">
        <v>62</v>
      </c>
    </row>
    <row r="64" spans="1:2" x14ac:dyDescent="0.25">
      <c r="A64" t="s">
        <v>306</v>
      </c>
      <c r="B64">
        <v>2</v>
      </c>
    </row>
    <row r="65" spans="1:2" x14ac:dyDescent="0.25">
      <c r="A65" t="s">
        <v>307</v>
      </c>
      <c r="B65">
        <v>7</v>
      </c>
    </row>
    <row r="66" spans="1:2" x14ac:dyDescent="0.25">
      <c r="A66" t="s">
        <v>308</v>
      </c>
      <c r="B66">
        <v>10</v>
      </c>
    </row>
    <row r="67" spans="1:2" x14ac:dyDescent="0.25">
      <c r="A67" t="s">
        <v>309</v>
      </c>
      <c r="B67">
        <v>2</v>
      </c>
    </row>
    <row r="68" spans="1:2" x14ac:dyDescent="0.25">
      <c r="A68" t="s">
        <v>310</v>
      </c>
      <c r="B68">
        <v>1</v>
      </c>
    </row>
    <row r="69" spans="1:2" x14ac:dyDescent="0.25">
      <c r="A69" t="s">
        <v>311</v>
      </c>
      <c r="B69">
        <v>6</v>
      </c>
    </row>
    <row r="70" spans="1:2" x14ac:dyDescent="0.25">
      <c r="A70" t="s">
        <v>312</v>
      </c>
      <c r="B70">
        <v>21</v>
      </c>
    </row>
    <row r="71" spans="1:2" x14ac:dyDescent="0.25">
      <c r="A71" t="s">
        <v>313</v>
      </c>
      <c r="B71">
        <v>53</v>
      </c>
    </row>
    <row r="72" spans="1:2" x14ac:dyDescent="0.25">
      <c r="A72" t="s">
        <v>314</v>
      </c>
      <c r="B72">
        <v>3</v>
      </c>
    </row>
    <row r="73" spans="1:2" x14ac:dyDescent="0.25">
      <c r="A73" t="s">
        <v>315</v>
      </c>
      <c r="B73">
        <v>96</v>
      </c>
    </row>
    <row r="74" spans="1:2" x14ac:dyDescent="0.25">
      <c r="A74" t="s">
        <v>316</v>
      </c>
      <c r="B74">
        <v>142</v>
      </c>
    </row>
    <row r="75" spans="1:2" x14ac:dyDescent="0.25">
      <c r="A75" t="s">
        <v>317</v>
      </c>
      <c r="B75">
        <v>32</v>
      </c>
    </row>
    <row r="76" spans="1:2" x14ac:dyDescent="0.25">
      <c r="A76" t="s">
        <v>318</v>
      </c>
      <c r="B76">
        <v>6</v>
      </c>
    </row>
    <row r="77" spans="1:2" x14ac:dyDescent="0.25">
      <c r="A77" t="s">
        <v>319</v>
      </c>
      <c r="B77">
        <v>21</v>
      </c>
    </row>
    <row r="78" spans="1:2" x14ac:dyDescent="0.25">
      <c r="A78" t="s">
        <v>320</v>
      </c>
      <c r="B78">
        <v>2</v>
      </c>
    </row>
    <row r="79" spans="1:2" x14ac:dyDescent="0.25">
      <c r="A79" t="s">
        <v>321</v>
      </c>
      <c r="B79">
        <v>1</v>
      </c>
    </row>
    <row r="80" spans="1:2" x14ac:dyDescent="0.25">
      <c r="A80" t="s">
        <v>322</v>
      </c>
      <c r="B80">
        <v>19</v>
      </c>
    </row>
    <row r="81" spans="1:2" x14ac:dyDescent="0.25">
      <c r="A81" t="s">
        <v>323</v>
      </c>
      <c r="B81">
        <v>1</v>
      </c>
    </row>
    <row r="82" spans="1:2" x14ac:dyDescent="0.25">
      <c r="A82" t="s">
        <v>324</v>
      </c>
      <c r="B82">
        <v>10</v>
      </c>
    </row>
    <row r="83" spans="1:2" x14ac:dyDescent="0.25">
      <c r="A83" t="s">
        <v>325</v>
      </c>
      <c r="B83">
        <v>3</v>
      </c>
    </row>
    <row r="84" spans="1:2" x14ac:dyDescent="0.25">
      <c r="A84" t="s">
        <v>326</v>
      </c>
      <c r="B84">
        <v>1</v>
      </c>
    </row>
    <row r="85" spans="1:2" x14ac:dyDescent="0.25">
      <c r="A85" t="s">
        <v>327</v>
      </c>
      <c r="B85">
        <v>1</v>
      </c>
    </row>
    <row r="86" spans="1:2" x14ac:dyDescent="0.25">
      <c r="A86" t="s">
        <v>328</v>
      </c>
      <c r="B86">
        <v>1</v>
      </c>
    </row>
    <row r="87" spans="1:2" x14ac:dyDescent="0.25">
      <c r="A87" t="s">
        <v>329</v>
      </c>
      <c r="B87">
        <v>2</v>
      </c>
    </row>
    <row r="88" spans="1:2" x14ac:dyDescent="0.25">
      <c r="A88" t="s">
        <v>330</v>
      </c>
      <c r="B88">
        <v>1</v>
      </c>
    </row>
    <row r="89" spans="1:2" x14ac:dyDescent="0.25">
      <c r="A89" t="s">
        <v>331</v>
      </c>
      <c r="B89">
        <v>5</v>
      </c>
    </row>
    <row r="90" spans="1:2" x14ac:dyDescent="0.25">
      <c r="A90" t="s">
        <v>332</v>
      </c>
      <c r="B90">
        <v>2</v>
      </c>
    </row>
    <row r="91" spans="1:2" x14ac:dyDescent="0.25">
      <c r="A91" t="s">
        <v>333</v>
      </c>
      <c r="B91">
        <v>104</v>
      </c>
    </row>
    <row r="92" spans="1:2" x14ac:dyDescent="0.25">
      <c r="A92" t="s">
        <v>334</v>
      </c>
      <c r="B92">
        <v>156</v>
      </c>
    </row>
    <row r="93" spans="1:2" x14ac:dyDescent="0.25">
      <c r="A93" t="s">
        <v>335</v>
      </c>
      <c r="B93">
        <v>2</v>
      </c>
    </row>
    <row r="94" spans="1:2" x14ac:dyDescent="0.25">
      <c r="A94" t="s">
        <v>336</v>
      </c>
      <c r="B94">
        <v>1</v>
      </c>
    </row>
    <row r="95" spans="1:2" x14ac:dyDescent="0.25">
      <c r="A95" t="s">
        <v>337</v>
      </c>
      <c r="B95">
        <v>12</v>
      </c>
    </row>
    <row r="96" spans="1:2" x14ac:dyDescent="0.25">
      <c r="A96" t="s">
        <v>338</v>
      </c>
      <c r="B96">
        <v>3</v>
      </c>
    </row>
    <row r="97" spans="1:2" x14ac:dyDescent="0.25">
      <c r="A97" t="s">
        <v>339</v>
      </c>
      <c r="B97">
        <v>1</v>
      </c>
    </row>
    <row r="98" spans="1:2" x14ac:dyDescent="0.25">
      <c r="A98" t="s">
        <v>340</v>
      </c>
      <c r="B98">
        <v>5</v>
      </c>
    </row>
    <row r="99" spans="1:2" x14ac:dyDescent="0.25">
      <c r="A99" t="s">
        <v>341</v>
      </c>
      <c r="B99">
        <v>5</v>
      </c>
    </row>
    <row r="100" spans="1:2" x14ac:dyDescent="0.25">
      <c r="A100" t="s">
        <v>342</v>
      </c>
      <c r="B100">
        <v>8</v>
      </c>
    </row>
    <row r="101" spans="1:2" x14ac:dyDescent="0.25">
      <c r="A101" t="s">
        <v>343</v>
      </c>
      <c r="B101">
        <v>1</v>
      </c>
    </row>
    <row r="102" spans="1:2" x14ac:dyDescent="0.25">
      <c r="A102" t="s">
        <v>344</v>
      </c>
      <c r="B102">
        <v>13</v>
      </c>
    </row>
    <row r="103" spans="1:2" x14ac:dyDescent="0.25">
      <c r="A103" t="s">
        <v>345</v>
      </c>
      <c r="B103">
        <v>2</v>
      </c>
    </row>
    <row r="104" spans="1:2" x14ac:dyDescent="0.25">
      <c r="A104" t="s">
        <v>346</v>
      </c>
      <c r="B104">
        <v>16</v>
      </c>
    </row>
    <row r="105" spans="1:2" x14ac:dyDescent="0.25">
      <c r="A105" t="s">
        <v>347</v>
      </c>
      <c r="B105">
        <v>15</v>
      </c>
    </row>
    <row r="106" spans="1:2" x14ac:dyDescent="0.25">
      <c r="A106" t="s">
        <v>348</v>
      </c>
      <c r="B106">
        <v>148</v>
      </c>
    </row>
    <row r="107" spans="1:2" x14ac:dyDescent="0.25">
      <c r="A107" t="s">
        <v>349</v>
      </c>
      <c r="B107">
        <v>1</v>
      </c>
    </row>
    <row r="108" spans="1:2" x14ac:dyDescent="0.25">
      <c r="A108" t="s">
        <v>350</v>
      </c>
      <c r="B108">
        <v>1</v>
      </c>
    </row>
    <row r="109" spans="1:2" x14ac:dyDescent="0.25">
      <c r="A109" t="s">
        <v>351</v>
      </c>
      <c r="B109">
        <v>64</v>
      </c>
    </row>
    <row r="110" spans="1:2" x14ac:dyDescent="0.25">
      <c r="A110" t="s">
        <v>352</v>
      </c>
      <c r="B110">
        <v>245</v>
      </c>
    </row>
    <row r="111" spans="1:2" x14ac:dyDescent="0.25">
      <c r="A111" t="s">
        <v>353</v>
      </c>
      <c r="B111">
        <v>88</v>
      </c>
    </row>
    <row r="112" spans="1:2" x14ac:dyDescent="0.25">
      <c r="A112" t="s">
        <v>354</v>
      </c>
      <c r="B112">
        <v>17</v>
      </c>
    </row>
    <row r="113" spans="1:2" x14ac:dyDescent="0.25">
      <c r="A113" t="s">
        <v>355</v>
      </c>
      <c r="B113">
        <v>122</v>
      </c>
    </row>
    <row r="114" spans="1:2" x14ac:dyDescent="0.25">
      <c r="A114" t="s">
        <v>356</v>
      </c>
      <c r="B114">
        <v>37</v>
      </c>
    </row>
    <row r="115" spans="1:2" x14ac:dyDescent="0.25">
      <c r="A115" t="s">
        <v>357</v>
      </c>
      <c r="B115">
        <v>1</v>
      </c>
    </row>
    <row r="116" spans="1:2" x14ac:dyDescent="0.25">
      <c r="A116" t="s">
        <v>358</v>
      </c>
      <c r="B116">
        <v>90</v>
      </c>
    </row>
    <row r="117" spans="1:2" x14ac:dyDescent="0.25">
      <c r="A117" t="s">
        <v>359</v>
      </c>
      <c r="B117">
        <v>774</v>
      </c>
    </row>
    <row r="118" spans="1:2" x14ac:dyDescent="0.25">
      <c r="A118" t="s">
        <v>360</v>
      </c>
      <c r="B118">
        <v>1</v>
      </c>
    </row>
    <row r="119" spans="1:2" x14ac:dyDescent="0.25">
      <c r="A119" t="s">
        <v>361</v>
      </c>
      <c r="B119">
        <v>2</v>
      </c>
    </row>
    <row r="120" spans="1:2" x14ac:dyDescent="0.25">
      <c r="A120" t="s">
        <v>362</v>
      </c>
      <c r="B120">
        <v>7</v>
      </c>
    </row>
    <row r="121" spans="1:2" x14ac:dyDescent="0.25">
      <c r="A121" t="s">
        <v>363</v>
      </c>
      <c r="B121">
        <v>83</v>
      </c>
    </row>
    <row r="122" spans="1:2" x14ac:dyDescent="0.25">
      <c r="A122" t="s">
        <v>364</v>
      </c>
      <c r="B122">
        <v>27</v>
      </c>
    </row>
    <row r="123" spans="1:2" x14ac:dyDescent="0.25">
      <c r="A123" t="s">
        <v>365</v>
      </c>
      <c r="B123">
        <v>1</v>
      </c>
    </row>
    <row r="124" spans="1:2" x14ac:dyDescent="0.25">
      <c r="A124" t="s">
        <v>366</v>
      </c>
      <c r="B124">
        <v>2</v>
      </c>
    </row>
    <row r="125" spans="1:2" x14ac:dyDescent="0.25">
      <c r="A125" t="s">
        <v>367</v>
      </c>
      <c r="B125">
        <v>11</v>
      </c>
    </row>
    <row r="126" spans="1:2" x14ac:dyDescent="0.25">
      <c r="A126" t="s">
        <v>368</v>
      </c>
      <c r="B126">
        <v>117</v>
      </c>
    </row>
    <row r="127" spans="1:2" x14ac:dyDescent="0.25">
      <c r="A127" t="s">
        <v>369</v>
      </c>
      <c r="B127">
        <v>22</v>
      </c>
    </row>
    <row r="128" spans="1:2" x14ac:dyDescent="0.25">
      <c r="A128" t="s">
        <v>370</v>
      </c>
      <c r="B128">
        <v>2</v>
      </c>
    </row>
    <row r="129" spans="1:2" x14ac:dyDescent="0.25">
      <c r="A129" t="s">
        <v>371</v>
      </c>
      <c r="B129">
        <v>3</v>
      </c>
    </row>
    <row r="130" spans="1:2" x14ac:dyDescent="0.25">
      <c r="A130" t="s">
        <v>372</v>
      </c>
      <c r="B130">
        <v>927</v>
      </c>
    </row>
    <row r="131" spans="1:2" x14ac:dyDescent="0.25">
      <c r="A131" t="s">
        <v>373</v>
      </c>
      <c r="B131">
        <v>38</v>
      </c>
    </row>
    <row r="132" spans="1:2" x14ac:dyDescent="0.25">
      <c r="A132" t="s">
        <v>374</v>
      </c>
      <c r="B132">
        <v>1</v>
      </c>
    </row>
    <row r="133" spans="1:2" x14ac:dyDescent="0.25">
      <c r="A133" t="s">
        <v>375</v>
      </c>
      <c r="B133">
        <v>1</v>
      </c>
    </row>
    <row r="134" spans="1:2" x14ac:dyDescent="0.25">
      <c r="A134" t="s">
        <v>376</v>
      </c>
      <c r="B134">
        <v>1</v>
      </c>
    </row>
    <row r="135" spans="1:2" x14ac:dyDescent="0.25">
      <c r="A135" t="s">
        <v>377</v>
      </c>
      <c r="B135">
        <v>96</v>
      </c>
    </row>
    <row r="136" spans="1:2" x14ac:dyDescent="0.25">
      <c r="A136" t="s">
        <v>378</v>
      </c>
      <c r="B136">
        <v>1</v>
      </c>
    </row>
    <row r="137" spans="1:2" x14ac:dyDescent="0.25">
      <c r="A137" t="s">
        <v>379</v>
      </c>
      <c r="B137">
        <v>1</v>
      </c>
    </row>
    <row r="138" spans="1:2" x14ac:dyDescent="0.25">
      <c r="A138" t="s">
        <v>380</v>
      </c>
      <c r="B138">
        <v>460</v>
      </c>
    </row>
    <row r="139" spans="1:2" x14ac:dyDescent="0.25">
      <c r="A139" t="s">
        <v>381</v>
      </c>
      <c r="B139">
        <v>137</v>
      </c>
    </row>
    <row r="140" spans="1:2" x14ac:dyDescent="0.25">
      <c r="A140" t="s">
        <v>382</v>
      </c>
      <c r="B140">
        <v>33</v>
      </c>
    </row>
    <row r="141" spans="1:2" x14ac:dyDescent="0.25">
      <c r="A141" t="s">
        <v>383</v>
      </c>
      <c r="B141">
        <v>37</v>
      </c>
    </row>
    <row r="142" spans="1:2" x14ac:dyDescent="0.25">
      <c r="A142" t="s">
        <v>384</v>
      </c>
      <c r="B142">
        <v>2</v>
      </c>
    </row>
    <row r="143" spans="1:2" x14ac:dyDescent="0.25">
      <c r="A143" t="s">
        <v>385</v>
      </c>
      <c r="B143">
        <v>5</v>
      </c>
    </row>
    <row r="144" spans="1:2" x14ac:dyDescent="0.25">
      <c r="A144" t="s">
        <v>386</v>
      </c>
      <c r="B144">
        <v>6</v>
      </c>
    </row>
    <row r="145" spans="1:2" x14ac:dyDescent="0.25">
      <c r="A145" t="s">
        <v>387</v>
      </c>
      <c r="B145">
        <v>3</v>
      </c>
    </row>
    <row r="146" spans="1:2" x14ac:dyDescent="0.25">
      <c r="A146" t="s">
        <v>388</v>
      </c>
      <c r="B146">
        <v>92</v>
      </c>
    </row>
    <row r="147" spans="1:2" x14ac:dyDescent="0.25">
      <c r="A147" t="s">
        <v>389</v>
      </c>
      <c r="B147">
        <v>94</v>
      </c>
    </row>
    <row r="148" spans="1:2" x14ac:dyDescent="0.25">
      <c r="A148" t="s">
        <v>390</v>
      </c>
      <c r="B148">
        <v>225</v>
      </c>
    </row>
    <row r="149" spans="1:2" x14ac:dyDescent="0.25">
      <c r="A149" t="s">
        <v>391</v>
      </c>
      <c r="B149">
        <v>1</v>
      </c>
    </row>
    <row r="150" spans="1:2" x14ac:dyDescent="0.25">
      <c r="A150" t="s">
        <v>392</v>
      </c>
      <c r="B150">
        <v>2</v>
      </c>
    </row>
    <row r="151" spans="1:2" x14ac:dyDescent="0.25">
      <c r="A151" t="s">
        <v>393</v>
      </c>
      <c r="B151">
        <v>1</v>
      </c>
    </row>
    <row r="152" spans="1:2" x14ac:dyDescent="0.25">
      <c r="A152" t="s">
        <v>394</v>
      </c>
      <c r="B152">
        <v>701</v>
      </c>
    </row>
    <row r="153" spans="1:2" x14ac:dyDescent="0.25">
      <c r="A153" t="s">
        <v>395</v>
      </c>
      <c r="B153">
        <v>2</v>
      </c>
    </row>
    <row r="154" spans="1:2" x14ac:dyDescent="0.25">
      <c r="A154" t="s">
        <v>396</v>
      </c>
      <c r="B154">
        <v>26</v>
      </c>
    </row>
    <row r="155" spans="1:2" x14ac:dyDescent="0.25">
      <c r="A155" t="s">
        <v>397</v>
      </c>
      <c r="B155">
        <v>13</v>
      </c>
    </row>
    <row r="156" spans="1:2" x14ac:dyDescent="0.25">
      <c r="A156" t="s">
        <v>398</v>
      </c>
      <c r="B156">
        <v>112</v>
      </c>
    </row>
    <row r="157" spans="1:2" x14ac:dyDescent="0.25">
      <c r="A157" t="s">
        <v>399</v>
      </c>
      <c r="B157">
        <v>4</v>
      </c>
    </row>
    <row r="158" spans="1:2" x14ac:dyDescent="0.25">
      <c r="A158" t="s">
        <v>400</v>
      </c>
      <c r="B158">
        <v>10</v>
      </c>
    </row>
    <row r="159" spans="1:2" x14ac:dyDescent="0.25">
      <c r="A159" t="s">
        <v>401</v>
      </c>
      <c r="B159">
        <v>2</v>
      </c>
    </row>
    <row r="160" spans="1:2" x14ac:dyDescent="0.25">
      <c r="A160" t="s">
        <v>402</v>
      </c>
      <c r="B160">
        <v>28</v>
      </c>
    </row>
    <row r="161" spans="1:2" x14ac:dyDescent="0.25">
      <c r="A161" t="s">
        <v>403</v>
      </c>
      <c r="B161">
        <v>23</v>
      </c>
    </row>
    <row r="162" spans="1:2" x14ac:dyDescent="0.25">
      <c r="A162" t="s">
        <v>404</v>
      </c>
      <c r="B162">
        <v>3</v>
      </c>
    </row>
    <row r="163" spans="1:2" x14ac:dyDescent="0.25">
      <c r="A163" t="s">
        <v>405</v>
      </c>
      <c r="B163">
        <v>18</v>
      </c>
    </row>
    <row r="164" spans="1:2" x14ac:dyDescent="0.25">
      <c r="A164" t="s">
        <v>406</v>
      </c>
      <c r="B164">
        <v>36</v>
      </c>
    </row>
    <row r="165" spans="1:2" x14ac:dyDescent="0.25">
      <c r="A165" t="s">
        <v>407</v>
      </c>
      <c r="B165">
        <v>1</v>
      </c>
    </row>
    <row r="166" spans="1:2" x14ac:dyDescent="0.25">
      <c r="A166" t="s">
        <v>408</v>
      </c>
      <c r="B166">
        <v>25</v>
      </c>
    </row>
    <row r="167" spans="1:2" x14ac:dyDescent="0.25">
      <c r="A167" t="s">
        <v>409</v>
      </c>
      <c r="B167">
        <v>1</v>
      </c>
    </row>
    <row r="168" spans="1:2" x14ac:dyDescent="0.25">
      <c r="A168" t="s">
        <v>410</v>
      </c>
      <c r="B168">
        <v>2</v>
      </c>
    </row>
    <row r="169" spans="1:2" x14ac:dyDescent="0.25">
      <c r="A169" t="s">
        <v>411</v>
      </c>
      <c r="B169">
        <v>20</v>
      </c>
    </row>
    <row r="170" spans="1:2" x14ac:dyDescent="0.25">
      <c r="A170" t="s">
        <v>412</v>
      </c>
      <c r="B170">
        <v>44</v>
      </c>
    </row>
    <row r="171" spans="1:2" x14ac:dyDescent="0.25">
      <c r="A171" t="s">
        <v>413</v>
      </c>
      <c r="B171">
        <v>1</v>
      </c>
    </row>
    <row r="172" spans="1:2" x14ac:dyDescent="0.25">
      <c r="A172" t="s">
        <v>414</v>
      </c>
      <c r="B172">
        <v>29</v>
      </c>
    </row>
    <row r="173" spans="1:2" x14ac:dyDescent="0.25">
      <c r="A173" t="s">
        <v>415</v>
      </c>
      <c r="B173">
        <v>6</v>
      </c>
    </row>
    <row r="174" spans="1:2" x14ac:dyDescent="0.25">
      <c r="A174" t="s">
        <v>416</v>
      </c>
      <c r="B174">
        <v>27</v>
      </c>
    </row>
    <row r="175" spans="1:2" x14ac:dyDescent="0.25">
      <c r="A175" t="s">
        <v>417</v>
      </c>
      <c r="B175">
        <v>1104</v>
      </c>
    </row>
    <row r="176" spans="1:2" x14ac:dyDescent="0.25">
      <c r="A176" t="s">
        <v>418</v>
      </c>
      <c r="B176">
        <v>4</v>
      </c>
    </row>
    <row r="177" spans="1:2" x14ac:dyDescent="0.25">
      <c r="A177" t="s">
        <v>419</v>
      </c>
      <c r="B177">
        <v>19</v>
      </c>
    </row>
    <row r="178" spans="1:2" x14ac:dyDescent="0.25">
      <c r="A178" t="s">
        <v>420</v>
      </c>
      <c r="B178">
        <v>1</v>
      </c>
    </row>
    <row r="179" spans="1:2" x14ac:dyDescent="0.25">
      <c r="A179" t="s">
        <v>421</v>
      </c>
      <c r="B179">
        <v>35</v>
      </c>
    </row>
    <row r="180" spans="1:2" x14ac:dyDescent="0.25">
      <c r="A180" t="s">
        <v>422</v>
      </c>
      <c r="B180">
        <v>62</v>
      </c>
    </row>
    <row r="181" spans="1:2" x14ac:dyDescent="0.25">
      <c r="A181" t="s">
        <v>423</v>
      </c>
      <c r="B181">
        <v>404</v>
      </c>
    </row>
    <row r="182" spans="1:2" x14ac:dyDescent="0.25">
      <c r="A182" t="s">
        <v>424</v>
      </c>
      <c r="B182">
        <v>333</v>
      </c>
    </row>
    <row r="183" spans="1:2" x14ac:dyDescent="0.25">
      <c r="A183" t="s">
        <v>425</v>
      </c>
      <c r="B183">
        <v>799</v>
      </c>
    </row>
    <row r="184" spans="1:2" x14ac:dyDescent="0.25">
      <c r="A184" t="s">
        <v>426</v>
      </c>
      <c r="B184">
        <v>1</v>
      </c>
    </row>
    <row r="185" spans="1:2" x14ac:dyDescent="0.25">
      <c r="A185" t="s">
        <v>427</v>
      </c>
      <c r="B185">
        <v>15</v>
      </c>
    </row>
    <row r="186" spans="1:2" x14ac:dyDescent="0.25">
      <c r="A186" t="s">
        <v>428</v>
      </c>
      <c r="B186">
        <v>8</v>
      </c>
    </row>
    <row r="187" spans="1:2" x14ac:dyDescent="0.25">
      <c r="A187" t="s">
        <v>429</v>
      </c>
      <c r="B187">
        <v>114</v>
      </c>
    </row>
    <row r="188" spans="1:2" x14ac:dyDescent="0.25">
      <c r="A188" t="s">
        <v>430</v>
      </c>
      <c r="B188">
        <v>2113</v>
      </c>
    </row>
    <row r="189" spans="1:2" x14ac:dyDescent="0.25">
      <c r="A189" t="s">
        <v>431</v>
      </c>
      <c r="B189">
        <v>1</v>
      </c>
    </row>
    <row r="190" spans="1:2" x14ac:dyDescent="0.25">
      <c r="A190" t="s">
        <v>432</v>
      </c>
      <c r="B190">
        <v>1</v>
      </c>
    </row>
    <row r="191" spans="1:2" x14ac:dyDescent="0.25">
      <c r="A191" t="s">
        <v>433</v>
      </c>
      <c r="B191">
        <v>65</v>
      </c>
    </row>
    <row r="192" spans="1:2" x14ac:dyDescent="0.25">
      <c r="A192" t="s">
        <v>434</v>
      </c>
      <c r="B192">
        <v>33</v>
      </c>
    </row>
    <row r="193" spans="1:2" x14ac:dyDescent="0.25">
      <c r="A193" t="s">
        <v>435</v>
      </c>
      <c r="B193">
        <v>389</v>
      </c>
    </row>
    <row r="194" spans="1:2" x14ac:dyDescent="0.25">
      <c r="A194" t="s">
        <v>436</v>
      </c>
      <c r="B194">
        <v>257</v>
      </c>
    </row>
    <row r="195" spans="1:2" x14ac:dyDescent="0.25">
      <c r="A195" t="s">
        <v>437</v>
      </c>
      <c r="B195">
        <v>343</v>
      </c>
    </row>
    <row r="196" spans="1:2" x14ac:dyDescent="0.25">
      <c r="A196" t="s">
        <v>438</v>
      </c>
      <c r="B196">
        <v>108</v>
      </c>
    </row>
    <row r="197" spans="1:2" x14ac:dyDescent="0.25">
      <c r="A197" t="s">
        <v>439</v>
      </c>
      <c r="B197">
        <v>31</v>
      </c>
    </row>
    <row r="198" spans="1:2" x14ac:dyDescent="0.25">
      <c r="A198" t="s">
        <v>440</v>
      </c>
      <c r="B198">
        <v>4</v>
      </c>
    </row>
    <row r="199" spans="1:2" x14ac:dyDescent="0.25">
      <c r="A199" t="s">
        <v>441</v>
      </c>
      <c r="B199">
        <v>227</v>
      </c>
    </row>
    <row r="200" spans="1:2" x14ac:dyDescent="0.25">
      <c r="A200" t="s">
        <v>442</v>
      </c>
      <c r="B200">
        <v>1</v>
      </c>
    </row>
    <row r="201" spans="1:2" x14ac:dyDescent="0.25">
      <c r="A201" t="s">
        <v>443</v>
      </c>
      <c r="B201">
        <v>102</v>
      </c>
    </row>
    <row r="202" spans="1:2" x14ac:dyDescent="0.25">
      <c r="A202" t="s">
        <v>444</v>
      </c>
      <c r="B202">
        <v>1</v>
      </c>
    </row>
    <row r="203" spans="1:2" x14ac:dyDescent="0.25">
      <c r="A203" t="s">
        <v>445</v>
      </c>
      <c r="B203">
        <v>97</v>
      </c>
    </row>
    <row r="204" spans="1:2" x14ac:dyDescent="0.25">
      <c r="A204" t="s">
        <v>446</v>
      </c>
      <c r="B204">
        <v>68</v>
      </c>
    </row>
    <row r="205" spans="1:2" x14ac:dyDescent="0.25">
      <c r="A205" t="s">
        <v>447</v>
      </c>
      <c r="B205">
        <v>1</v>
      </c>
    </row>
    <row r="206" spans="1:2" x14ac:dyDescent="0.25">
      <c r="A206" t="s">
        <v>448</v>
      </c>
      <c r="B206">
        <v>12</v>
      </c>
    </row>
    <row r="207" spans="1:2" x14ac:dyDescent="0.25">
      <c r="A207" t="s">
        <v>449</v>
      </c>
      <c r="B207">
        <v>7</v>
      </c>
    </row>
    <row r="208" spans="1:2" x14ac:dyDescent="0.25">
      <c r="A208" t="s">
        <v>450</v>
      </c>
      <c r="B208">
        <v>132</v>
      </c>
    </row>
    <row r="209" spans="1:2" x14ac:dyDescent="0.25">
      <c r="A209" t="s">
        <v>451</v>
      </c>
      <c r="B209">
        <v>6</v>
      </c>
    </row>
    <row r="210" spans="1:2" x14ac:dyDescent="0.25">
      <c r="A210" t="s">
        <v>452</v>
      </c>
      <c r="B210">
        <v>82</v>
      </c>
    </row>
    <row r="211" spans="1:2" x14ac:dyDescent="0.25">
      <c r="A211" t="s">
        <v>453</v>
      </c>
      <c r="B211">
        <v>1</v>
      </c>
    </row>
    <row r="212" spans="1:2" x14ac:dyDescent="0.25">
      <c r="A212" t="s">
        <v>454</v>
      </c>
      <c r="B212">
        <v>1</v>
      </c>
    </row>
    <row r="213" spans="1:2" x14ac:dyDescent="0.25">
      <c r="A213" t="s">
        <v>455</v>
      </c>
      <c r="B213">
        <v>27</v>
      </c>
    </row>
    <row r="214" spans="1:2" x14ac:dyDescent="0.25">
      <c r="A214" t="s">
        <v>456</v>
      </c>
      <c r="B214">
        <v>9</v>
      </c>
    </row>
    <row r="215" spans="1:2" x14ac:dyDescent="0.25">
      <c r="A215" t="s">
        <v>457</v>
      </c>
      <c r="B215">
        <v>86</v>
      </c>
    </row>
    <row r="216" spans="1:2" x14ac:dyDescent="0.25">
      <c r="A216" t="s">
        <v>458</v>
      </c>
      <c r="B216">
        <v>751</v>
      </c>
    </row>
    <row r="217" spans="1:2" x14ac:dyDescent="0.25">
      <c r="A217" t="s">
        <v>459</v>
      </c>
      <c r="B217">
        <v>1</v>
      </c>
    </row>
    <row r="218" spans="1:2" x14ac:dyDescent="0.25">
      <c r="A218" t="s">
        <v>460</v>
      </c>
      <c r="B218">
        <v>6</v>
      </c>
    </row>
    <row r="219" spans="1:2" x14ac:dyDescent="0.25">
      <c r="A219" t="s">
        <v>461</v>
      </c>
      <c r="B219">
        <v>1</v>
      </c>
    </row>
    <row r="220" spans="1:2" x14ac:dyDescent="0.25">
      <c r="A220" t="s">
        <v>462</v>
      </c>
      <c r="B220">
        <v>16</v>
      </c>
    </row>
    <row r="221" spans="1:2" x14ac:dyDescent="0.25">
      <c r="A221" t="s">
        <v>463</v>
      </c>
      <c r="B221">
        <v>15</v>
      </c>
    </row>
    <row r="222" spans="1:2" x14ac:dyDescent="0.25">
      <c r="A222" t="s">
        <v>464</v>
      </c>
      <c r="B222">
        <v>424</v>
      </c>
    </row>
    <row r="223" spans="1:2" x14ac:dyDescent="0.25">
      <c r="A223" t="s">
        <v>465</v>
      </c>
      <c r="B223">
        <v>1</v>
      </c>
    </row>
    <row r="224" spans="1:2" x14ac:dyDescent="0.25">
      <c r="A224" t="s">
        <v>466</v>
      </c>
      <c r="B224">
        <v>331</v>
      </c>
    </row>
    <row r="225" spans="1:2" x14ac:dyDescent="0.25">
      <c r="A225" t="s">
        <v>467</v>
      </c>
      <c r="B225">
        <v>7</v>
      </c>
    </row>
    <row r="226" spans="1:2" x14ac:dyDescent="0.25">
      <c r="A226" t="s">
        <v>468</v>
      </c>
      <c r="B226">
        <v>8</v>
      </c>
    </row>
    <row r="227" spans="1:2" x14ac:dyDescent="0.25">
      <c r="A227" t="s">
        <v>469</v>
      </c>
      <c r="B227">
        <v>2</v>
      </c>
    </row>
    <row r="228" spans="1:2" x14ac:dyDescent="0.25">
      <c r="A228" t="s">
        <v>470</v>
      </c>
      <c r="B228">
        <v>11</v>
      </c>
    </row>
    <row r="229" spans="1:2" x14ac:dyDescent="0.25">
      <c r="A229" t="s">
        <v>471</v>
      </c>
      <c r="B229">
        <v>31</v>
      </c>
    </row>
    <row r="230" spans="1:2" x14ac:dyDescent="0.25">
      <c r="A230" t="s">
        <v>472</v>
      </c>
      <c r="B230">
        <v>14</v>
      </c>
    </row>
    <row r="231" spans="1:2" x14ac:dyDescent="0.25">
      <c r="A231" t="s">
        <v>473</v>
      </c>
      <c r="B231">
        <v>161</v>
      </c>
    </row>
    <row r="232" spans="1:2" x14ac:dyDescent="0.25">
      <c r="A232" t="s">
        <v>474</v>
      </c>
      <c r="B232">
        <v>1024</v>
      </c>
    </row>
    <row r="233" spans="1:2" x14ac:dyDescent="0.25">
      <c r="A233" t="s">
        <v>475</v>
      </c>
      <c r="B233">
        <v>4</v>
      </c>
    </row>
    <row r="234" spans="1:2" x14ac:dyDescent="0.25">
      <c r="A234" t="s">
        <v>476</v>
      </c>
      <c r="B234">
        <v>2</v>
      </c>
    </row>
    <row r="235" spans="1:2" x14ac:dyDescent="0.25">
      <c r="A235" t="s">
        <v>477</v>
      </c>
      <c r="B235">
        <v>3</v>
      </c>
    </row>
    <row r="236" spans="1:2" x14ac:dyDescent="0.25">
      <c r="A236" t="s">
        <v>478</v>
      </c>
      <c r="B236">
        <v>242</v>
      </c>
    </row>
    <row r="237" spans="1:2" x14ac:dyDescent="0.25">
      <c r="A237" t="s">
        <v>479</v>
      </c>
      <c r="B237">
        <v>2</v>
      </c>
    </row>
    <row r="238" spans="1:2" x14ac:dyDescent="0.25">
      <c r="A238" t="s">
        <v>480</v>
      </c>
      <c r="B238">
        <v>28</v>
      </c>
    </row>
    <row r="239" spans="1:2" x14ac:dyDescent="0.25">
      <c r="A239" t="s">
        <v>481</v>
      </c>
      <c r="B239">
        <v>2</v>
      </c>
    </row>
    <row r="240" spans="1:2" x14ac:dyDescent="0.25">
      <c r="A240" t="s">
        <v>482</v>
      </c>
      <c r="B240">
        <v>1</v>
      </c>
    </row>
    <row r="241" spans="1:2" x14ac:dyDescent="0.25">
      <c r="A241" t="s">
        <v>483</v>
      </c>
      <c r="B241">
        <v>233</v>
      </c>
    </row>
    <row r="242" spans="1:2" x14ac:dyDescent="0.25">
      <c r="A242" t="s">
        <v>484</v>
      </c>
      <c r="B242">
        <v>30</v>
      </c>
    </row>
    <row r="243" spans="1:2" x14ac:dyDescent="0.25">
      <c r="A243" t="s">
        <v>485</v>
      </c>
      <c r="B243">
        <v>4</v>
      </c>
    </row>
    <row r="244" spans="1:2" x14ac:dyDescent="0.25">
      <c r="A244" t="s">
        <v>486</v>
      </c>
      <c r="B244">
        <v>83</v>
      </c>
    </row>
    <row r="245" spans="1:2" x14ac:dyDescent="0.25">
      <c r="A245" t="s">
        <v>487</v>
      </c>
      <c r="B245">
        <v>6</v>
      </c>
    </row>
    <row r="246" spans="1:2" x14ac:dyDescent="0.25">
      <c r="A246" t="s">
        <v>488</v>
      </c>
      <c r="B246">
        <v>245</v>
      </c>
    </row>
    <row r="247" spans="1:2" x14ac:dyDescent="0.25">
      <c r="A247" t="s">
        <v>489</v>
      </c>
      <c r="B247">
        <v>122</v>
      </c>
    </row>
    <row r="248" spans="1:2" x14ac:dyDescent="0.25">
      <c r="A248" t="s">
        <v>490</v>
      </c>
      <c r="B248">
        <v>25</v>
      </c>
    </row>
    <row r="249" spans="1:2" x14ac:dyDescent="0.25">
      <c r="A249" t="s">
        <v>491</v>
      </c>
      <c r="B249">
        <v>285</v>
      </c>
    </row>
    <row r="250" spans="1:2" x14ac:dyDescent="0.25">
      <c r="A250" t="s">
        <v>492</v>
      </c>
      <c r="B250">
        <v>4</v>
      </c>
    </row>
    <row r="251" spans="1:2" x14ac:dyDescent="0.25">
      <c r="A251" t="s">
        <v>493</v>
      </c>
      <c r="B251">
        <v>1</v>
      </c>
    </row>
    <row r="252" spans="1:2" x14ac:dyDescent="0.25">
      <c r="A252" t="s">
        <v>494</v>
      </c>
      <c r="B252">
        <v>1</v>
      </c>
    </row>
    <row r="253" spans="1:2" x14ac:dyDescent="0.25">
      <c r="A253" t="s">
        <v>495</v>
      </c>
      <c r="B253">
        <v>5</v>
      </c>
    </row>
    <row r="254" spans="1:2" x14ac:dyDescent="0.25">
      <c r="A254" t="s">
        <v>496</v>
      </c>
      <c r="B254">
        <v>1</v>
      </c>
    </row>
    <row r="255" spans="1:2" x14ac:dyDescent="0.25">
      <c r="A255" t="s">
        <v>497</v>
      </c>
      <c r="B255">
        <v>339</v>
      </c>
    </row>
    <row r="256" spans="1:2" x14ac:dyDescent="0.25">
      <c r="A256" t="s">
        <v>498</v>
      </c>
      <c r="B256">
        <v>9</v>
      </c>
    </row>
    <row r="257" spans="1:2" x14ac:dyDescent="0.25">
      <c r="A257" t="s">
        <v>499</v>
      </c>
      <c r="B257">
        <v>11</v>
      </c>
    </row>
    <row r="258" spans="1:2" x14ac:dyDescent="0.25">
      <c r="A258" t="s">
        <v>500</v>
      </c>
      <c r="B258">
        <v>34</v>
      </c>
    </row>
    <row r="259" spans="1:2" x14ac:dyDescent="0.25">
      <c r="A259" t="s">
        <v>501</v>
      </c>
      <c r="B259">
        <v>5</v>
      </c>
    </row>
    <row r="260" spans="1:2" x14ac:dyDescent="0.25">
      <c r="A260" t="s">
        <v>502</v>
      </c>
      <c r="B260">
        <v>29</v>
      </c>
    </row>
    <row r="261" spans="1:2" x14ac:dyDescent="0.25">
      <c r="A261" t="s">
        <v>503</v>
      </c>
      <c r="B261">
        <v>124</v>
      </c>
    </row>
    <row r="262" spans="1:2" x14ac:dyDescent="0.25">
      <c r="A262" t="s">
        <v>504</v>
      </c>
      <c r="B262">
        <v>250</v>
      </c>
    </row>
    <row r="263" spans="1:2" x14ac:dyDescent="0.25">
      <c r="A263" t="s">
        <v>505</v>
      </c>
      <c r="B263">
        <v>1</v>
      </c>
    </row>
    <row r="264" spans="1:2" x14ac:dyDescent="0.25">
      <c r="A264" t="s">
        <v>506</v>
      </c>
      <c r="B264">
        <v>174</v>
      </c>
    </row>
    <row r="265" spans="1:2" x14ac:dyDescent="0.25">
      <c r="A265" t="s">
        <v>507</v>
      </c>
      <c r="B265">
        <v>1</v>
      </c>
    </row>
    <row r="266" spans="1:2" x14ac:dyDescent="0.25">
      <c r="A266" t="s">
        <v>508</v>
      </c>
      <c r="B266">
        <v>9</v>
      </c>
    </row>
    <row r="267" spans="1:2" x14ac:dyDescent="0.25">
      <c r="A267" t="s">
        <v>509</v>
      </c>
      <c r="B267">
        <v>2</v>
      </c>
    </row>
    <row r="268" spans="1:2" x14ac:dyDescent="0.25">
      <c r="A268" t="s">
        <v>510</v>
      </c>
      <c r="B268">
        <v>19</v>
      </c>
    </row>
    <row r="269" spans="1:2" x14ac:dyDescent="0.25">
      <c r="A269" t="s">
        <v>511</v>
      </c>
      <c r="B269">
        <v>58</v>
      </c>
    </row>
    <row r="270" spans="1:2" x14ac:dyDescent="0.25">
      <c r="A270" t="s">
        <v>512</v>
      </c>
      <c r="B270">
        <v>6</v>
      </c>
    </row>
    <row r="271" spans="1:2" x14ac:dyDescent="0.25">
      <c r="A271" t="s">
        <v>513</v>
      </c>
      <c r="B271">
        <v>39</v>
      </c>
    </row>
    <row r="272" spans="1:2" x14ac:dyDescent="0.25">
      <c r="A272" t="s">
        <v>514</v>
      </c>
      <c r="B272">
        <v>25</v>
      </c>
    </row>
    <row r="273" spans="1:2" x14ac:dyDescent="0.25">
      <c r="A273" t="s">
        <v>515</v>
      </c>
      <c r="B273">
        <v>1623</v>
      </c>
    </row>
    <row r="274" spans="1:2" x14ac:dyDescent="0.25">
      <c r="A274" t="s">
        <v>516</v>
      </c>
      <c r="B274">
        <v>7</v>
      </c>
    </row>
    <row r="275" spans="1:2" x14ac:dyDescent="0.25">
      <c r="A275" t="s">
        <v>517</v>
      </c>
      <c r="B275">
        <v>10</v>
      </c>
    </row>
    <row r="276" spans="1:2" x14ac:dyDescent="0.25">
      <c r="A276" t="s">
        <v>518</v>
      </c>
      <c r="B276">
        <v>11</v>
      </c>
    </row>
    <row r="277" spans="1:2" x14ac:dyDescent="0.25">
      <c r="A277" t="s">
        <v>519</v>
      </c>
      <c r="B277">
        <v>23</v>
      </c>
    </row>
    <row r="278" spans="1:2" x14ac:dyDescent="0.25">
      <c r="A278" t="s">
        <v>520</v>
      </c>
      <c r="B278">
        <v>6</v>
      </c>
    </row>
    <row r="279" spans="1:2" x14ac:dyDescent="0.25">
      <c r="A279" t="s">
        <v>521</v>
      </c>
      <c r="B279">
        <v>51</v>
      </c>
    </row>
    <row r="280" spans="1:2" x14ac:dyDescent="0.25">
      <c r="A280" t="s">
        <v>522</v>
      </c>
      <c r="B280">
        <v>15</v>
      </c>
    </row>
    <row r="281" spans="1:2" x14ac:dyDescent="0.25">
      <c r="A281" t="s">
        <v>523</v>
      </c>
      <c r="B281">
        <v>17</v>
      </c>
    </row>
    <row r="282" spans="1:2" x14ac:dyDescent="0.25">
      <c r="A282" t="s">
        <v>524</v>
      </c>
      <c r="B282">
        <v>1</v>
      </c>
    </row>
    <row r="283" spans="1:2" x14ac:dyDescent="0.25">
      <c r="A283" t="s">
        <v>525</v>
      </c>
      <c r="B283">
        <v>21</v>
      </c>
    </row>
    <row r="284" spans="1:2" x14ac:dyDescent="0.25">
      <c r="A284" t="s">
        <v>526</v>
      </c>
      <c r="B284">
        <v>9</v>
      </c>
    </row>
    <row r="285" spans="1:2" x14ac:dyDescent="0.25">
      <c r="A285" t="s">
        <v>527</v>
      </c>
      <c r="B285">
        <v>5</v>
      </c>
    </row>
    <row r="286" spans="1:2" x14ac:dyDescent="0.25">
      <c r="A286" t="s">
        <v>528</v>
      </c>
      <c r="B286">
        <v>9</v>
      </c>
    </row>
    <row r="287" spans="1:2" x14ac:dyDescent="0.25">
      <c r="A287" t="s">
        <v>529</v>
      </c>
      <c r="B287">
        <v>1</v>
      </c>
    </row>
    <row r="288" spans="1:2" x14ac:dyDescent="0.25">
      <c r="A288" t="s">
        <v>530</v>
      </c>
      <c r="B288">
        <v>142</v>
      </c>
    </row>
    <row r="289" spans="1:2" x14ac:dyDescent="0.25">
      <c r="A289" t="s">
        <v>531</v>
      </c>
      <c r="B289">
        <v>2</v>
      </c>
    </row>
    <row r="290" spans="1:2" x14ac:dyDescent="0.25">
      <c r="A290" t="s">
        <v>532</v>
      </c>
      <c r="B290">
        <v>1</v>
      </c>
    </row>
    <row r="291" spans="1:2" x14ac:dyDescent="0.25">
      <c r="A291" t="s">
        <v>533</v>
      </c>
      <c r="B291">
        <v>2</v>
      </c>
    </row>
    <row r="292" spans="1:2" x14ac:dyDescent="0.25">
      <c r="A292" t="s">
        <v>534</v>
      </c>
      <c r="B292">
        <v>9</v>
      </c>
    </row>
    <row r="293" spans="1:2" x14ac:dyDescent="0.25">
      <c r="A293" t="s">
        <v>535</v>
      </c>
      <c r="B293">
        <v>1</v>
      </c>
    </row>
    <row r="294" spans="1:2" x14ac:dyDescent="0.25">
      <c r="A294" t="s">
        <v>536</v>
      </c>
      <c r="B294">
        <v>22</v>
      </c>
    </row>
    <row r="295" spans="1:2" x14ac:dyDescent="0.25">
      <c r="A295" t="s">
        <v>537</v>
      </c>
      <c r="B295">
        <v>5</v>
      </c>
    </row>
    <row r="296" spans="1:2" x14ac:dyDescent="0.25">
      <c r="A296" t="s">
        <v>538</v>
      </c>
      <c r="B296">
        <v>192</v>
      </c>
    </row>
    <row r="297" spans="1:2" x14ac:dyDescent="0.25">
      <c r="A297" t="s">
        <v>539</v>
      </c>
      <c r="B297">
        <v>17</v>
      </c>
    </row>
    <row r="298" spans="1:2" x14ac:dyDescent="0.25">
      <c r="A298" t="s">
        <v>540</v>
      </c>
      <c r="B298">
        <v>1</v>
      </c>
    </row>
    <row r="299" spans="1:2" x14ac:dyDescent="0.25">
      <c r="A299" t="s">
        <v>541</v>
      </c>
      <c r="B299">
        <v>57</v>
      </c>
    </row>
    <row r="300" spans="1:2" x14ac:dyDescent="0.25">
      <c r="A300" t="s">
        <v>542</v>
      </c>
      <c r="B300">
        <v>359</v>
      </c>
    </row>
    <row r="301" spans="1:2" x14ac:dyDescent="0.25">
      <c r="A301" t="s">
        <v>543</v>
      </c>
      <c r="B301">
        <v>275</v>
      </c>
    </row>
    <row r="302" spans="1:2" x14ac:dyDescent="0.25">
      <c r="A302" t="s">
        <v>544</v>
      </c>
      <c r="B302">
        <v>1</v>
      </c>
    </row>
    <row r="303" spans="1:2" x14ac:dyDescent="0.25">
      <c r="A303" t="s">
        <v>545</v>
      </c>
      <c r="B303">
        <v>289</v>
      </c>
    </row>
    <row r="304" spans="1:2" x14ac:dyDescent="0.25">
      <c r="A304" t="s">
        <v>546</v>
      </c>
      <c r="B304">
        <v>18</v>
      </c>
    </row>
    <row r="305" spans="1:2" x14ac:dyDescent="0.25">
      <c r="A305" t="s">
        <v>547</v>
      </c>
      <c r="B305">
        <v>11</v>
      </c>
    </row>
    <row r="306" spans="1:2" x14ac:dyDescent="0.25">
      <c r="A306" t="s">
        <v>548</v>
      </c>
      <c r="B306">
        <v>72</v>
      </c>
    </row>
    <row r="307" spans="1:2" x14ac:dyDescent="0.25">
      <c r="A307" t="s">
        <v>549</v>
      </c>
      <c r="B307">
        <v>591</v>
      </c>
    </row>
    <row r="308" spans="1:2" x14ac:dyDescent="0.25">
      <c r="A308" t="s">
        <v>550</v>
      </c>
      <c r="B308">
        <v>15</v>
      </c>
    </row>
    <row r="309" spans="1:2" x14ac:dyDescent="0.25">
      <c r="A309" t="s">
        <v>551</v>
      </c>
      <c r="B309">
        <v>22</v>
      </c>
    </row>
    <row r="310" spans="1:2" x14ac:dyDescent="0.25">
      <c r="A310" t="s">
        <v>552</v>
      </c>
      <c r="B310">
        <v>18</v>
      </c>
    </row>
    <row r="311" spans="1:2" x14ac:dyDescent="0.25">
      <c r="A311" t="s">
        <v>553</v>
      </c>
      <c r="B311">
        <v>4</v>
      </c>
    </row>
    <row r="312" spans="1:2" x14ac:dyDescent="0.25">
      <c r="A312" t="s">
        <v>554</v>
      </c>
      <c r="B312">
        <v>39</v>
      </c>
    </row>
    <row r="313" spans="1:2" x14ac:dyDescent="0.25">
      <c r="A313" t="s">
        <v>555</v>
      </c>
      <c r="B313">
        <v>12</v>
      </c>
    </row>
    <row r="314" spans="1:2" x14ac:dyDescent="0.25">
      <c r="A314" t="s">
        <v>556</v>
      </c>
      <c r="B314">
        <v>4</v>
      </c>
    </row>
    <row r="315" spans="1:2" x14ac:dyDescent="0.25">
      <c r="A315" t="s">
        <v>557</v>
      </c>
      <c r="B315">
        <v>2715</v>
      </c>
    </row>
    <row r="316" spans="1:2" x14ac:dyDescent="0.25">
      <c r="A316" t="s">
        <v>558</v>
      </c>
      <c r="B316">
        <v>1437</v>
      </c>
    </row>
    <row r="317" spans="1:2" x14ac:dyDescent="0.25">
      <c r="A317" t="s">
        <v>559</v>
      </c>
      <c r="B317">
        <v>5</v>
      </c>
    </row>
    <row r="318" spans="1:2" x14ac:dyDescent="0.25">
      <c r="A318" t="s">
        <v>560</v>
      </c>
      <c r="B318">
        <v>2</v>
      </c>
    </row>
    <row r="319" spans="1:2" x14ac:dyDescent="0.25">
      <c r="A319" t="s">
        <v>561</v>
      </c>
      <c r="B319">
        <v>361</v>
      </c>
    </row>
    <row r="320" spans="1:2" x14ac:dyDescent="0.25">
      <c r="A320" t="s">
        <v>562</v>
      </c>
      <c r="B320">
        <v>238</v>
      </c>
    </row>
    <row r="321" spans="1:2" x14ac:dyDescent="0.25">
      <c r="A321" t="s">
        <v>563</v>
      </c>
      <c r="B321">
        <v>5</v>
      </c>
    </row>
    <row r="322" spans="1:2" x14ac:dyDescent="0.25">
      <c r="A322" t="s">
        <v>564</v>
      </c>
      <c r="B322">
        <v>4</v>
      </c>
    </row>
    <row r="323" spans="1:2" x14ac:dyDescent="0.25">
      <c r="A323" t="s">
        <v>565</v>
      </c>
      <c r="B323">
        <v>15</v>
      </c>
    </row>
    <row r="324" spans="1:2" x14ac:dyDescent="0.25">
      <c r="A324" t="s">
        <v>566</v>
      </c>
      <c r="B324">
        <v>42</v>
      </c>
    </row>
    <row r="325" spans="1:2" x14ac:dyDescent="0.25">
      <c r="A325" t="s">
        <v>567</v>
      </c>
      <c r="B325">
        <v>1</v>
      </c>
    </row>
    <row r="326" spans="1:2" x14ac:dyDescent="0.25">
      <c r="A326" t="s">
        <v>568</v>
      </c>
      <c r="B326">
        <v>1</v>
      </c>
    </row>
    <row r="327" spans="1:2" x14ac:dyDescent="0.25">
      <c r="A327" t="s">
        <v>569</v>
      </c>
      <c r="B327">
        <v>1</v>
      </c>
    </row>
    <row r="328" spans="1:2" x14ac:dyDescent="0.25">
      <c r="A328" t="s">
        <v>570</v>
      </c>
      <c r="B328">
        <v>15</v>
      </c>
    </row>
    <row r="329" spans="1:2" x14ac:dyDescent="0.25">
      <c r="A329" t="s">
        <v>571</v>
      </c>
      <c r="B329">
        <v>1</v>
      </c>
    </row>
    <row r="330" spans="1:2" x14ac:dyDescent="0.25">
      <c r="A330" t="s">
        <v>572</v>
      </c>
      <c r="B330">
        <v>1</v>
      </c>
    </row>
    <row r="331" spans="1:2" x14ac:dyDescent="0.25">
      <c r="A331" t="s">
        <v>573</v>
      </c>
      <c r="B331">
        <v>1</v>
      </c>
    </row>
    <row r="332" spans="1:2" x14ac:dyDescent="0.25">
      <c r="A332" t="s">
        <v>574</v>
      </c>
      <c r="B332">
        <v>50</v>
      </c>
    </row>
    <row r="333" spans="1:2" x14ac:dyDescent="0.25">
      <c r="A333" t="s">
        <v>575</v>
      </c>
      <c r="B333">
        <v>2</v>
      </c>
    </row>
    <row r="334" spans="1:2" x14ac:dyDescent="0.25">
      <c r="A334" t="s">
        <v>576</v>
      </c>
      <c r="B334">
        <v>27</v>
      </c>
    </row>
    <row r="335" spans="1:2" x14ac:dyDescent="0.25">
      <c r="A335" t="s">
        <v>577</v>
      </c>
      <c r="B335">
        <v>1</v>
      </c>
    </row>
    <row r="336" spans="1:2" x14ac:dyDescent="0.25">
      <c r="A336" t="s">
        <v>578</v>
      </c>
      <c r="B336">
        <v>1</v>
      </c>
    </row>
    <row r="337" spans="1:2" x14ac:dyDescent="0.25">
      <c r="A337" t="s">
        <v>579</v>
      </c>
      <c r="B337">
        <v>1903</v>
      </c>
    </row>
    <row r="338" spans="1:2" x14ac:dyDescent="0.25">
      <c r="A338" t="s">
        <v>580</v>
      </c>
      <c r="B338">
        <v>1</v>
      </c>
    </row>
    <row r="339" spans="1:2" x14ac:dyDescent="0.25">
      <c r="A339" t="s">
        <v>581</v>
      </c>
      <c r="B339">
        <v>4</v>
      </c>
    </row>
    <row r="340" spans="1:2" x14ac:dyDescent="0.25">
      <c r="A340" t="s">
        <v>582</v>
      </c>
      <c r="B340">
        <v>1</v>
      </c>
    </row>
    <row r="341" spans="1:2" x14ac:dyDescent="0.25">
      <c r="A341" t="s">
        <v>583</v>
      </c>
      <c r="B341">
        <v>23</v>
      </c>
    </row>
    <row r="342" spans="1:2" x14ac:dyDescent="0.25">
      <c r="A342" t="s">
        <v>584</v>
      </c>
      <c r="B342">
        <v>123</v>
      </c>
    </row>
    <row r="343" spans="1:2" x14ac:dyDescent="0.25">
      <c r="A343" t="s">
        <v>585</v>
      </c>
      <c r="B343">
        <v>12515</v>
      </c>
    </row>
    <row r="344" spans="1:2" x14ac:dyDescent="0.25">
      <c r="A344" t="s">
        <v>586</v>
      </c>
      <c r="B344">
        <v>3</v>
      </c>
    </row>
    <row r="345" spans="1:2" x14ac:dyDescent="0.25">
      <c r="A345" t="s">
        <v>587</v>
      </c>
      <c r="B345">
        <v>88</v>
      </c>
    </row>
    <row r="346" spans="1:2" x14ac:dyDescent="0.25">
      <c r="A346" t="s">
        <v>588</v>
      </c>
      <c r="B346">
        <v>3</v>
      </c>
    </row>
    <row r="347" spans="1:2" x14ac:dyDescent="0.25">
      <c r="A347" t="s">
        <v>589</v>
      </c>
      <c r="B347">
        <v>27</v>
      </c>
    </row>
    <row r="348" spans="1:2" x14ac:dyDescent="0.25">
      <c r="A348" t="s">
        <v>590</v>
      </c>
      <c r="B348">
        <v>268</v>
      </c>
    </row>
    <row r="349" spans="1:2" x14ac:dyDescent="0.25">
      <c r="A349" t="s">
        <v>591</v>
      </c>
      <c r="B349">
        <v>1</v>
      </c>
    </row>
    <row r="350" spans="1:2" x14ac:dyDescent="0.25">
      <c r="A350" t="s">
        <v>592</v>
      </c>
      <c r="B350">
        <v>4</v>
      </c>
    </row>
    <row r="351" spans="1:2" x14ac:dyDescent="0.25">
      <c r="A351" t="s">
        <v>593</v>
      </c>
      <c r="B351">
        <v>165</v>
      </c>
    </row>
    <row r="352" spans="1:2" x14ac:dyDescent="0.25">
      <c r="A352" t="s">
        <v>594</v>
      </c>
      <c r="B352">
        <v>768</v>
      </c>
    </row>
    <row r="353" spans="1:2" x14ac:dyDescent="0.25">
      <c r="A353" t="s">
        <v>595</v>
      </c>
      <c r="B353">
        <v>2</v>
      </c>
    </row>
    <row r="354" spans="1:2" x14ac:dyDescent="0.25">
      <c r="A354" t="s">
        <v>596</v>
      </c>
      <c r="B354">
        <v>1</v>
      </c>
    </row>
    <row r="355" spans="1:2" x14ac:dyDescent="0.25">
      <c r="A355" t="s">
        <v>597</v>
      </c>
      <c r="B355">
        <v>146</v>
      </c>
    </row>
    <row r="356" spans="1:2" x14ac:dyDescent="0.25">
      <c r="A356" t="s">
        <v>598</v>
      </c>
      <c r="B356">
        <v>6</v>
      </c>
    </row>
    <row r="357" spans="1:2" x14ac:dyDescent="0.25">
      <c r="A357" t="s">
        <v>599</v>
      </c>
      <c r="B357">
        <v>1</v>
      </c>
    </row>
    <row r="358" spans="1:2" x14ac:dyDescent="0.25">
      <c r="A358" t="s">
        <v>600</v>
      </c>
      <c r="B358">
        <v>2</v>
      </c>
    </row>
    <row r="359" spans="1:2" x14ac:dyDescent="0.25">
      <c r="A359" t="s">
        <v>601</v>
      </c>
      <c r="B359">
        <v>741</v>
      </c>
    </row>
    <row r="360" spans="1:2" x14ac:dyDescent="0.25">
      <c r="A360" t="s">
        <v>602</v>
      </c>
      <c r="B360">
        <v>308</v>
      </c>
    </row>
    <row r="361" spans="1:2" x14ac:dyDescent="0.25">
      <c r="A361" t="s">
        <v>603</v>
      </c>
      <c r="B361">
        <v>7</v>
      </c>
    </row>
    <row r="362" spans="1:2" x14ac:dyDescent="0.25">
      <c r="A362" t="s">
        <v>604</v>
      </c>
      <c r="B362">
        <v>9</v>
      </c>
    </row>
    <row r="363" spans="1:2" x14ac:dyDescent="0.25">
      <c r="A363" t="s">
        <v>605</v>
      </c>
      <c r="B363">
        <v>2</v>
      </c>
    </row>
    <row r="364" spans="1:2" x14ac:dyDescent="0.25">
      <c r="A364" t="s">
        <v>606</v>
      </c>
      <c r="B364">
        <v>1</v>
      </c>
    </row>
    <row r="365" spans="1:2" x14ac:dyDescent="0.25">
      <c r="A365" t="s">
        <v>607</v>
      </c>
      <c r="B365">
        <v>2</v>
      </c>
    </row>
    <row r="366" spans="1:2" x14ac:dyDescent="0.25">
      <c r="A366" t="s">
        <v>608</v>
      </c>
      <c r="B366">
        <v>3</v>
      </c>
    </row>
    <row r="367" spans="1:2" x14ac:dyDescent="0.25">
      <c r="A367" t="s">
        <v>609</v>
      </c>
      <c r="B367">
        <v>127</v>
      </c>
    </row>
    <row r="368" spans="1:2" x14ac:dyDescent="0.25">
      <c r="A368" t="s">
        <v>610</v>
      </c>
      <c r="B368">
        <v>2</v>
      </c>
    </row>
    <row r="369" spans="1:2" x14ac:dyDescent="0.25">
      <c r="A369" t="s">
        <v>611</v>
      </c>
      <c r="B369">
        <v>895</v>
      </c>
    </row>
    <row r="370" spans="1:2" x14ac:dyDescent="0.25">
      <c r="A370" t="s">
        <v>612</v>
      </c>
      <c r="B370">
        <v>198</v>
      </c>
    </row>
    <row r="371" spans="1:2" x14ac:dyDescent="0.25">
      <c r="A371" t="s">
        <v>613</v>
      </c>
      <c r="B371">
        <v>1</v>
      </c>
    </row>
    <row r="372" spans="1:2" x14ac:dyDescent="0.25">
      <c r="A372" t="s">
        <v>614</v>
      </c>
      <c r="B372">
        <v>2</v>
      </c>
    </row>
    <row r="373" spans="1:2" x14ac:dyDescent="0.25">
      <c r="A373" t="s">
        <v>615</v>
      </c>
      <c r="B373">
        <v>164</v>
      </c>
    </row>
    <row r="374" spans="1:2" x14ac:dyDescent="0.25">
      <c r="A374" t="s">
        <v>616</v>
      </c>
      <c r="B374">
        <v>72</v>
      </c>
    </row>
    <row r="375" spans="1:2" x14ac:dyDescent="0.25">
      <c r="A375" t="s">
        <v>617</v>
      </c>
      <c r="B375">
        <v>23</v>
      </c>
    </row>
    <row r="376" spans="1:2" x14ac:dyDescent="0.25">
      <c r="A376" t="s">
        <v>618</v>
      </c>
      <c r="B376">
        <v>40</v>
      </c>
    </row>
    <row r="377" spans="1:2" x14ac:dyDescent="0.25">
      <c r="A377" t="s">
        <v>619</v>
      </c>
      <c r="B377">
        <v>7</v>
      </c>
    </row>
    <row r="378" spans="1:2" x14ac:dyDescent="0.25">
      <c r="A378" t="s">
        <v>620</v>
      </c>
      <c r="B378">
        <v>46</v>
      </c>
    </row>
    <row r="379" spans="1:2" x14ac:dyDescent="0.25">
      <c r="A379" t="s">
        <v>621</v>
      </c>
      <c r="B379">
        <v>18</v>
      </c>
    </row>
    <row r="380" spans="1:2" x14ac:dyDescent="0.25">
      <c r="A380" t="s">
        <v>622</v>
      </c>
      <c r="B380">
        <v>36</v>
      </c>
    </row>
    <row r="381" spans="1:2" x14ac:dyDescent="0.25">
      <c r="A381" t="s">
        <v>623</v>
      </c>
      <c r="B381">
        <v>1426</v>
      </c>
    </row>
    <row r="382" spans="1:2" x14ac:dyDescent="0.25">
      <c r="A382" t="s">
        <v>624</v>
      </c>
      <c r="B382">
        <v>1</v>
      </c>
    </row>
    <row r="383" spans="1:2" x14ac:dyDescent="0.25">
      <c r="A383" t="s">
        <v>625</v>
      </c>
      <c r="B383">
        <v>6</v>
      </c>
    </row>
    <row r="384" spans="1:2" x14ac:dyDescent="0.25">
      <c r="A384" t="s">
        <v>626</v>
      </c>
      <c r="B384">
        <v>1</v>
      </c>
    </row>
    <row r="385" spans="1:2" x14ac:dyDescent="0.25">
      <c r="A385" t="s">
        <v>627</v>
      </c>
      <c r="B385">
        <v>46</v>
      </c>
    </row>
    <row r="386" spans="1:2" x14ac:dyDescent="0.25">
      <c r="A386" t="s">
        <v>628</v>
      </c>
      <c r="B386">
        <v>1</v>
      </c>
    </row>
    <row r="387" spans="1:2" x14ac:dyDescent="0.25">
      <c r="A387" t="s">
        <v>629</v>
      </c>
      <c r="B387">
        <v>3</v>
      </c>
    </row>
    <row r="388" spans="1:2" x14ac:dyDescent="0.25">
      <c r="A388" t="s">
        <v>630</v>
      </c>
      <c r="B388">
        <v>3</v>
      </c>
    </row>
    <row r="389" spans="1:2" x14ac:dyDescent="0.25">
      <c r="A389" t="s">
        <v>631</v>
      </c>
      <c r="B389">
        <v>16</v>
      </c>
    </row>
    <row r="390" spans="1:2" x14ac:dyDescent="0.25">
      <c r="A390" t="s">
        <v>632</v>
      </c>
      <c r="B390">
        <v>7</v>
      </c>
    </row>
    <row r="391" spans="1:2" x14ac:dyDescent="0.25">
      <c r="A391" t="s">
        <v>633</v>
      </c>
      <c r="B391">
        <v>9</v>
      </c>
    </row>
    <row r="392" spans="1:2" x14ac:dyDescent="0.25">
      <c r="A392" t="s">
        <v>634</v>
      </c>
      <c r="B392">
        <v>3</v>
      </c>
    </row>
    <row r="393" spans="1:2" x14ac:dyDescent="0.25">
      <c r="A393" t="s">
        <v>635</v>
      </c>
      <c r="B393">
        <v>4</v>
      </c>
    </row>
    <row r="394" spans="1:2" x14ac:dyDescent="0.25">
      <c r="A394" t="s">
        <v>636</v>
      </c>
      <c r="B394">
        <v>2</v>
      </c>
    </row>
    <row r="395" spans="1:2" x14ac:dyDescent="0.25">
      <c r="A395" t="s">
        <v>637</v>
      </c>
      <c r="B395">
        <v>9</v>
      </c>
    </row>
    <row r="396" spans="1:2" x14ac:dyDescent="0.25">
      <c r="A396" t="s">
        <v>638</v>
      </c>
      <c r="B396">
        <v>140</v>
      </c>
    </row>
    <row r="397" spans="1:2" x14ac:dyDescent="0.25">
      <c r="A397" t="s">
        <v>639</v>
      </c>
      <c r="B397">
        <v>55</v>
      </c>
    </row>
    <row r="398" spans="1:2" x14ac:dyDescent="0.25">
      <c r="A398" t="s">
        <v>640</v>
      </c>
      <c r="B398">
        <v>254</v>
      </c>
    </row>
    <row r="399" spans="1:2" x14ac:dyDescent="0.25">
      <c r="A399" t="s">
        <v>641</v>
      </c>
      <c r="B399">
        <v>1</v>
      </c>
    </row>
    <row r="400" spans="1:2" x14ac:dyDescent="0.25">
      <c r="A400" t="s">
        <v>642</v>
      </c>
      <c r="B400">
        <v>17</v>
      </c>
    </row>
    <row r="401" spans="1:2" x14ac:dyDescent="0.25">
      <c r="A401" t="s">
        <v>643</v>
      </c>
      <c r="B401">
        <v>7</v>
      </c>
    </row>
    <row r="402" spans="1:2" x14ac:dyDescent="0.25">
      <c r="A402" t="s">
        <v>644</v>
      </c>
      <c r="B402">
        <v>15</v>
      </c>
    </row>
    <row r="403" spans="1:2" x14ac:dyDescent="0.25">
      <c r="A403" t="s">
        <v>645</v>
      </c>
      <c r="B403">
        <v>2</v>
      </c>
    </row>
    <row r="404" spans="1:2" x14ac:dyDescent="0.25">
      <c r="A404" t="s">
        <v>646</v>
      </c>
      <c r="B404">
        <v>284</v>
      </c>
    </row>
    <row r="405" spans="1:2" x14ac:dyDescent="0.25">
      <c r="A405" t="s">
        <v>647</v>
      </c>
      <c r="B405">
        <v>2</v>
      </c>
    </row>
    <row r="406" spans="1:2" x14ac:dyDescent="0.25">
      <c r="A406" t="s">
        <v>648</v>
      </c>
      <c r="B406">
        <v>2</v>
      </c>
    </row>
    <row r="407" spans="1:2" x14ac:dyDescent="0.25">
      <c r="A407" t="s">
        <v>649</v>
      </c>
      <c r="B407">
        <v>2</v>
      </c>
    </row>
    <row r="408" spans="1:2" x14ac:dyDescent="0.25">
      <c r="A408" t="s">
        <v>650</v>
      </c>
      <c r="B408">
        <v>12</v>
      </c>
    </row>
    <row r="409" spans="1:2" x14ac:dyDescent="0.25">
      <c r="A409" t="s">
        <v>651</v>
      </c>
      <c r="B409">
        <v>2117</v>
      </c>
    </row>
    <row r="410" spans="1:2" x14ac:dyDescent="0.25">
      <c r="A410" t="s">
        <v>652</v>
      </c>
      <c r="B410">
        <v>332</v>
      </c>
    </row>
    <row r="411" spans="1:2" x14ac:dyDescent="0.25">
      <c r="A411" t="s">
        <v>653</v>
      </c>
      <c r="B411">
        <v>11</v>
      </c>
    </row>
    <row r="412" spans="1:2" x14ac:dyDescent="0.25">
      <c r="A412" t="s">
        <v>654</v>
      </c>
      <c r="B412">
        <v>10</v>
      </c>
    </row>
    <row r="413" spans="1:2" x14ac:dyDescent="0.25">
      <c r="A413" t="s">
        <v>655</v>
      </c>
      <c r="B413">
        <v>1</v>
      </c>
    </row>
    <row r="414" spans="1:2" x14ac:dyDescent="0.25">
      <c r="A414" t="s">
        <v>656</v>
      </c>
      <c r="B414">
        <v>1</v>
      </c>
    </row>
    <row r="415" spans="1:2" x14ac:dyDescent="0.25">
      <c r="A415" t="s">
        <v>657</v>
      </c>
      <c r="B415">
        <v>7</v>
      </c>
    </row>
    <row r="416" spans="1:2" x14ac:dyDescent="0.25">
      <c r="A416" t="s">
        <v>658</v>
      </c>
      <c r="B416">
        <v>1</v>
      </c>
    </row>
    <row r="417" spans="1:2" x14ac:dyDescent="0.25">
      <c r="A417" t="s">
        <v>659</v>
      </c>
      <c r="B417">
        <v>1</v>
      </c>
    </row>
    <row r="418" spans="1:2" x14ac:dyDescent="0.25">
      <c r="A418" t="s">
        <v>660</v>
      </c>
      <c r="B418">
        <v>123</v>
      </c>
    </row>
    <row r="419" spans="1:2" x14ac:dyDescent="0.25">
      <c r="A419" t="s">
        <v>661</v>
      </c>
      <c r="B419">
        <v>3</v>
      </c>
    </row>
    <row r="420" spans="1:2" x14ac:dyDescent="0.25">
      <c r="A420" t="s">
        <v>662</v>
      </c>
      <c r="B420">
        <v>3</v>
      </c>
    </row>
    <row r="421" spans="1:2" x14ac:dyDescent="0.25">
      <c r="A421" t="s">
        <v>663</v>
      </c>
      <c r="B421">
        <v>196</v>
      </c>
    </row>
    <row r="422" spans="1:2" x14ac:dyDescent="0.25">
      <c r="A422" t="s">
        <v>664</v>
      </c>
      <c r="B422">
        <v>3</v>
      </c>
    </row>
    <row r="423" spans="1:2" x14ac:dyDescent="0.25">
      <c r="A423" t="s">
        <v>665</v>
      </c>
      <c r="B423">
        <v>138</v>
      </c>
    </row>
    <row r="424" spans="1:2" x14ac:dyDescent="0.25">
      <c r="A424" t="s">
        <v>666</v>
      </c>
      <c r="B424">
        <v>57</v>
      </c>
    </row>
    <row r="425" spans="1:2" x14ac:dyDescent="0.25">
      <c r="A425" t="s">
        <v>667</v>
      </c>
      <c r="B425">
        <v>7</v>
      </c>
    </row>
    <row r="426" spans="1:2" x14ac:dyDescent="0.25">
      <c r="A426" t="s">
        <v>668</v>
      </c>
      <c r="B426">
        <v>54</v>
      </c>
    </row>
    <row r="427" spans="1:2" x14ac:dyDescent="0.25">
      <c r="A427" t="s">
        <v>669</v>
      </c>
      <c r="B427">
        <v>4</v>
      </c>
    </row>
    <row r="428" spans="1:2" x14ac:dyDescent="0.25">
      <c r="A428" t="s">
        <v>670</v>
      </c>
      <c r="B428">
        <v>22</v>
      </c>
    </row>
    <row r="429" spans="1:2" x14ac:dyDescent="0.25">
      <c r="A429" t="s">
        <v>671</v>
      </c>
      <c r="B429">
        <v>21</v>
      </c>
    </row>
    <row r="430" spans="1:2" x14ac:dyDescent="0.25">
      <c r="A430" t="s">
        <v>672</v>
      </c>
      <c r="B430">
        <v>1</v>
      </c>
    </row>
    <row r="431" spans="1:2" x14ac:dyDescent="0.25">
      <c r="A431" t="s">
        <v>673</v>
      </c>
      <c r="B431">
        <v>1044</v>
      </c>
    </row>
    <row r="432" spans="1:2" x14ac:dyDescent="0.25">
      <c r="A432" t="s">
        <v>674</v>
      </c>
      <c r="B432">
        <v>51</v>
      </c>
    </row>
    <row r="433" spans="1:2" x14ac:dyDescent="0.25">
      <c r="A433" t="s">
        <v>675</v>
      </c>
      <c r="B433">
        <v>46</v>
      </c>
    </row>
    <row r="434" spans="1:2" x14ac:dyDescent="0.25">
      <c r="A434" t="s">
        <v>676</v>
      </c>
      <c r="B434">
        <v>14</v>
      </c>
    </row>
    <row r="435" spans="1:2" x14ac:dyDescent="0.25">
      <c r="A435" t="s">
        <v>677</v>
      </c>
      <c r="B435">
        <v>192</v>
      </c>
    </row>
    <row r="436" spans="1:2" x14ac:dyDescent="0.25">
      <c r="A436" t="s">
        <v>678</v>
      </c>
      <c r="B436">
        <v>60</v>
      </c>
    </row>
    <row r="437" spans="1:2" x14ac:dyDescent="0.25">
      <c r="A437" t="s">
        <v>679</v>
      </c>
      <c r="B437">
        <v>103</v>
      </c>
    </row>
    <row r="438" spans="1:2" x14ac:dyDescent="0.25">
      <c r="A438" t="s">
        <v>680</v>
      </c>
      <c r="B438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F7C26-6B44-4391-B75A-17D4E2D75030}">
  <dimension ref="A1:B74"/>
  <sheetViews>
    <sheetView topLeftCell="A26" workbookViewId="0">
      <selection activeCell="B48" sqref="B48"/>
    </sheetView>
  </sheetViews>
  <sheetFormatPr defaultRowHeight="15.75" x14ac:dyDescent="0.25"/>
  <cols>
    <col min="1" max="1" width="19.125" customWidth="1"/>
    <col min="2" max="2" width="17.375" customWidth="1"/>
  </cols>
  <sheetData>
    <row r="1" spans="1:2" x14ac:dyDescent="0.25">
      <c r="A1" s="1" t="s">
        <v>682</v>
      </c>
      <c r="B1" s="1" t="s">
        <v>681</v>
      </c>
    </row>
    <row r="2" spans="1:2" x14ac:dyDescent="0.25">
      <c r="A2" t="s">
        <v>166</v>
      </c>
      <c r="B2">
        <v>14</v>
      </c>
    </row>
    <row r="3" spans="1:2" x14ac:dyDescent="0.25">
      <c r="A3" t="s">
        <v>683</v>
      </c>
      <c r="B3">
        <v>2</v>
      </c>
    </row>
    <row r="4" spans="1:2" x14ac:dyDescent="0.25">
      <c r="A4" t="s">
        <v>11</v>
      </c>
      <c r="B4">
        <v>1</v>
      </c>
    </row>
    <row r="5" spans="1:2" x14ac:dyDescent="0.25">
      <c r="A5" t="s">
        <v>13</v>
      </c>
      <c r="B5">
        <v>26</v>
      </c>
    </row>
    <row r="6" spans="1:2" x14ac:dyDescent="0.25">
      <c r="A6" t="s">
        <v>684</v>
      </c>
      <c r="B6">
        <v>1</v>
      </c>
    </row>
    <row r="7" spans="1:2" x14ac:dyDescent="0.25">
      <c r="A7" t="s">
        <v>23</v>
      </c>
      <c r="B7">
        <v>787</v>
      </c>
    </row>
    <row r="8" spans="1:2" x14ac:dyDescent="0.25">
      <c r="A8" t="s">
        <v>685</v>
      </c>
      <c r="B8">
        <v>1</v>
      </c>
    </row>
    <row r="9" spans="1:2" x14ac:dyDescent="0.25">
      <c r="A9" t="s">
        <v>686</v>
      </c>
      <c r="B9">
        <v>1</v>
      </c>
    </row>
    <row r="10" spans="1:2" x14ac:dyDescent="0.25">
      <c r="A10" t="s">
        <v>687</v>
      </c>
      <c r="B10">
        <v>1</v>
      </c>
    </row>
    <row r="11" spans="1:2" x14ac:dyDescent="0.25">
      <c r="A11" t="s">
        <v>43</v>
      </c>
      <c r="B11">
        <v>342</v>
      </c>
    </row>
    <row r="12" spans="1:2" x14ac:dyDescent="0.25">
      <c r="A12" t="s">
        <v>688</v>
      </c>
      <c r="B12">
        <v>2</v>
      </c>
    </row>
    <row r="13" spans="1:2" x14ac:dyDescent="0.25">
      <c r="A13" t="s">
        <v>91</v>
      </c>
      <c r="B13">
        <v>464</v>
      </c>
    </row>
    <row r="14" spans="1:2" x14ac:dyDescent="0.25">
      <c r="A14" t="s">
        <v>18</v>
      </c>
      <c r="B14">
        <v>3442</v>
      </c>
    </row>
    <row r="15" spans="1:2" x14ac:dyDescent="0.25">
      <c r="A15" t="s">
        <v>689</v>
      </c>
      <c r="B15">
        <v>1</v>
      </c>
    </row>
    <row r="16" spans="1:2" x14ac:dyDescent="0.25">
      <c r="A16" t="s">
        <v>69</v>
      </c>
      <c r="B16">
        <v>8</v>
      </c>
    </row>
    <row r="17" spans="1:2" x14ac:dyDescent="0.25">
      <c r="A17" t="s">
        <v>690</v>
      </c>
      <c r="B17">
        <v>1</v>
      </c>
    </row>
    <row r="18" spans="1:2" x14ac:dyDescent="0.25">
      <c r="A18" t="s">
        <v>682</v>
      </c>
      <c r="B18">
        <v>6</v>
      </c>
    </row>
    <row r="19" spans="1:2" x14ac:dyDescent="0.25">
      <c r="A19" t="s">
        <v>45</v>
      </c>
      <c r="B19">
        <v>297</v>
      </c>
    </row>
    <row r="20" spans="1:2" x14ac:dyDescent="0.25">
      <c r="A20" t="s">
        <v>691</v>
      </c>
      <c r="B20">
        <v>1</v>
      </c>
    </row>
    <row r="21" spans="1:2" x14ac:dyDescent="0.25">
      <c r="A21" t="s">
        <v>692</v>
      </c>
      <c r="B21">
        <v>1</v>
      </c>
    </row>
    <row r="22" spans="1:2" x14ac:dyDescent="0.25">
      <c r="A22" t="s">
        <v>693</v>
      </c>
      <c r="B22">
        <v>1</v>
      </c>
    </row>
    <row r="23" spans="1:2" x14ac:dyDescent="0.25">
      <c r="A23" t="s">
        <v>35</v>
      </c>
      <c r="B23">
        <v>124</v>
      </c>
    </row>
    <row r="24" spans="1:2" x14ac:dyDescent="0.25">
      <c r="A24" t="s">
        <v>694</v>
      </c>
      <c r="B24">
        <v>2</v>
      </c>
    </row>
    <row r="25" spans="1:2" x14ac:dyDescent="0.25">
      <c r="A25" t="s">
        <v>695</v>
      </c>
      <c r="B25">
        <v>1</v>
      </c>
    </row>
    <row r="26" spans="1:2" x14ac:dyDescent="0.25">
      <c r="A26" t="s">
        <v>696</v>
      </c>
      <c r="B26">
        <v>7</v>
      </c>
    </row>
    <row r="27" spans="1:2" x14ac:dyDescent="0.25">
      <c r="A27" t="s">
        <v>187</v>
      </c>
      <c r="B27">
        <v>10</v>
      </c>
    </row>
    <row r="28" spans="1:2" x14ac:dyDescent="0.25">
      <c r="A28" t="s">
        <v>63</v>
      </c>
      <c r="B28">
        <v>149</v>
      </c>
    </row>
    <row r="29" spans="1:2" x14ac:dyDescent="0.25">
      <c r="A29" t="s">
        <v>697</v>
      </c>
      <c r="B29">
        <v>1</v>
      </c>
    </row>
    <row r="30" spans="1:2" x14ac:dyDescent="0.25">
      <c r="A30" t="s">
        <v>171</v>
      </c>
      <c r="B30">
        <v>5</v>
      </c>
    </row>
    <row r="31" spans="1:2" x14ac:dyDescent="0.25">
      <c r="A31" t="s">
        <v>78</v>
      </c>
      <c r="B31">
        <v>163</v>
      </c>
    </row>
    <row r="32" spans="1:2" x14ac:dyDescent="0.25">
      <c r="A32" t="s">
        <v>3</v>
      </c>
      <c r="B32">
        <v>263</v>
      </c>
    </row>
    <row r="33" spans="1:2" x14ac:dyDescent="0.25">
      <c r="A33" t="s">
        <v>121</v>
      </c>
      <c r="B33">
        <v>790</v>
      </c>
    </row>
    <row r="34" spans="1:2" x14ac:dyDescent="0.25">
      <c r="A34" t="s">
        <v>175</v>
      </c>
      <c r="B34">
        <v>424</v>
      </c>
    </row>
    <row r="35" spans="1:2" x14ac:dyDescent="0.25">
      <c r="A35" t="s">
        <v>698</v>
      </c>
      <c r="B35">
        <v>1</v>
      </c>
    </row>
    <row r="36" spans="1:2" x14ac:dyDescent="0.25">
      <c r="A36" t="s">
        <v>8</v>
      </c>
      <c r="B36">
        <v>34736</v>
      </c>
    </row>
    <row r="37" spans="1:2" x14ac:dyDescent="0.25">
      <c r="A37" t="s">
        <v>16</v>
      </c>
      <c r="B37">
        <v>2255</v>
      </c>
    </row>
    <row r="38" spans="1:2" x14ac:dyDescent="0.25">
      <c r="A38" t="s">
        <v>54</v>
      </c>
      <c r="B38">
        <v>178</v>
      </c>
    </row>
    <row r="39" spans="1:2" x14ac:dyDescent="0.25">
      <c r="A39" t="s">
        <v>25</v>
      </c>
      <c r="B39">
        <v>95</v>
      </c>
    </row>
    <row r="40" spans="1:2" x14ac:dyDescent="0.25">
      <c r="A40" t="s">
        <v>122</v>
      </c>
      <c r="B40">
        <v>2</v>
      </c>
    </row>
    <row r="41" spans="1:2" x14ac:dyDescent="0.25">
      <c r="A41" t="s">
        <v>47</v>
      </c>
      <c r="B41">
        <v>228</v>
      </c>
    </row>
    <row r="42" spans="1:2" x14ac:dyDescent="0.25">
      <c r="A42" t="s">
        <v>67</v>
      </c>
      <c r="B42">
        <v>14</v>
      </c>
    </row>
    <row r="43" spans="1:2" x14ac:dyDescent="0.25">
      <c r="A43" t="s">
        <v>699</v>
      </c>
      <c r="B43">
        <v>1</v>
      </c>
    </row>
    <row r="44" spans="1:2" x14ac:dyDescent="0.25">
      <c r="A44" t="s">
        <v>203</v>
      </c>
      <c r="B44">
        <v>309</v>
      </c>
    </row>
    <row r="45" spans="1:2" x14ac:dyDescent="0.25">
      <c r="A45" t="s">
        <v>140</v>
      </c>
      <c r="B45">
        <v>1</v>
      </c>
    </row>
    <row r="46" spans="1:2" x14ac:dyDescent="0.25">
      <c r="A46" t="s">
        <v>700</v>
      </c>
      <c r="B46">
        <v>2</v>
      </c>
    </row>
    <row r="47" spans="1:2" x14ac:dyDescent="0.25">
      <c r="A47" t="s">
        <v>701</v>
      </c>
      <c r="B47">
        <v>1</v>
      </c>
    </row>
    <row r="48" spans="1:2" x14ac:dyDescent="0.25">
      <c r="A48" t="s">
        <v>702</v>
      </c>
      <c r="B48">
        <v>1</v>
      </c>
    </row>
    <row r="49" spans="1:2" x14ac:dyDescent="0.25">
      <c r="A49" t="s">
        <v>33</v>
      </c>
      <c r="B49">
        <v>88</v>
      </c>
    </row>
    <row r="50" spans="1:2" x14ac:dyDescent="0.25">
      <c r="A50" t="s">
        <v>104</v>
      </c>
      <c r="B50">
        <v>67</v>
      </c>
    </row>
    <row r="51" spans="1:2" x14ac:dyDescent="0.25">
      <c r="A51" t="s">
        <v>703</v>
      </c>
      <c r="B51">
        <v>1</v>
      </c>
    </row>
    <row r="52" spans="1:2" x14ac:dyDescent="0.25">
      <c r="A52" t="s">
        <v>152</v>
      </c>
      <c r="B52">
        <v>13</v>
      </c>
    </row>
    <row r="53" spans="1:2" x14ac:dyDescent="0.25">
      <c r="A53" t="s">
        <v>29</v>
      </c>
      <c r="B53">
        <v>4697</v>
      </c>
    </row>
    <row r="54" spans="1:2" x14ac:dyDescent="0.25">
      <c r="A54" t="s">
        <v>704</v>
      </c>
      <c r="B54">
        <v>1</v>
      </c>
    </row>
    <row r="55" spans="1:2" x14ac:dyDescent="0.25">
      <c r="A55" t="s">
        <v>705</v>
      </c>
      <c r="B55">
        <v>1</v>
      </c>
    </row>
    <row r="56" spans="1:2" x14ac:dyDescent="0.25">
      <c r="A56" t="s">
        <v>706</v>
      </c>
      <c r="B56">
        <v>8</v>
      </c>
    </row>
    <row r="57" spans="1:2" x14ac:dyDescent="0.25">
      <c r="A57" t="s">
        <v>707</v>
      </c>
      <c r="B57">
        <v>503</v>
      </c>
    </row>
    <row r="58" spans="1:2" x14ac:dyDescent="0.25">
      <c r="A58" t="s">
        <v>10</v>
      </c>
      <c r="B58">
        <v>742</v>
      </c>
    </row>
    <row r="59" spans="1:2" x14ac:dyDescent="0.25">
      <c r="A59" t="s">
        <v>157</v>
      </c>
      <c r="B59">
        <v>46</v>
      </c>
    </row>
    <row r="60" spans="1:2" x14ac:dyDescent="0.25">
      <c r="A60" t="s">
        <v>12</v>
      </c>
      <c r="B60">
        <v>6796</v>
      </c>
    </row>
    <row r="61" spans="1:2" x14ac:dyDescent="0.25">
      <c r="A61" t="s">
        <v>708</v>
      </c>
      <c r="B61">
        <v>1</v>
      </c>
    </row>
    <row r="62" spans="1:2" x14ac:dyDescent="0.25">
      <c r="A62" t="s">
        <v>6</v>
      </c>
      <c r="B62">
        <v>1442</v>
      </c>
    </row>
    <row r="63" spans="1:2" x14ac:dyDescent="0.25">
      <c r="A63" t="s">
        <v>51</v>
      </c>
      <c r="B63">
        <v>70</v>
      </c>
    </row>
    <row r="64" spans="1:2" x14ac:dyDescent="0.25">
      <c r="A64" t="s">
        <v>116</v>
      </c>
      <c r="B64">
        <v>2480</v>
      </c>
    </row>
    <row r="65" spans="1:2" x14ac:dyDescent="0.25">
      <c r="A65" t="s">
        <v>709</v>
      </c>
      <c r="B65">
        <v>1</v>
      </c>
    </row>
    <row r="66" spans="1:2" x14ac:dyDescent="0.25">
      <c r="A66" t="s">
        <v>710</v>
      </c>
      <c r="B66">
        <v>1</v>
      </c>
    </row>
    <row r="67" spans="1:2" x14ac:dyDescent="0.25">
      <c r="A67" t="s">
        <v>711</v>
      </c>
      <c r="B67">
        <v>13</v>
      </c>
    </row>
    <row r="68" spans="1:2" x14ac:dyDescent="0.25">
      <c r="A68" t="s">
        <v>60</v>
      </c>
      <c r="B68">
        <v>160</v>
      </c>
    </row>
    <row r="69" spans="1:2" x14ac:dyDescent="0.25">
      <c r="A69" t="s">
        <v>712</v>
      </c>
      <c r="B69">
        <v>1</v>
      </c>
    </row>
    <row r="70" spans="1:2" x14ac:dyDescent="0.25">
      <c r="A70" t="s">
        <v>21</v>
      </c>
      <c r="B70">
        <v>1763</v>
      </c>
    </row>
    <row r="71" spans="1:2" x14ac:dyDescent="0.25">
      <c r="A71" t="s">
        <v>58</v>
      </c>
      <c r="B71">
        <v>97</v>
      </c>
    </row>
    <row r="72" spans="1:2" x14ac:dyDescent="0.25">
      <c r="A72" t="s">
        <v>98</v>
      </c>
      <c r="B72">
        <v>304</v>
      </c>
    </row>
    <row r="73" spans="1:2" x14ac:dyDescent="0.25">
      <c r="A73" t="s">
        <v>713</v>
      </c>
    </row>
    <row r="74" spans="1:2" x14ac:dyDescent="0.25">
      <c r="A74" t="s">
        <v>714</v>
      </c>
      <c r="B74">
        <v>64459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23E2B-2E90-4A5C-BB0E-DD79BB8D8B50}">
  <dimension ref="A3:E41"/>
  <sheetViews>
    <sheetView tabSelected="1" workbookViewId="0">
      <selection activeCell="D24" sqref="D24"/>
    </sheetView>
  </sheetViews>
  <sheetFormatPr defaultRowHeight="15.75" x14ac:dyDescent="0.25"/>
  <cols>
    <col min="1" max="1" width="11.5" bestFit="1" customWidth="1"/>
    <col min="2" max="2" width="23" bestFit="1" customWidth="1"/>
    <col min="3" max="3" width="15.875" bestFit="1" customWidth="1"/>
    <col min="4" max="4" width="12.25" bestFit="1" customWidth="1"/>
    <col min="5" max="5" width="15.5" customWidth="1"/>
  </cols>
  <sheetData>
    <row r="3" spans="1:5" ht="36" customHeight="1" x14ac:dyDescent="0.25">
      <c r="A3" s="13" t="s">
        <v>682</v>
      </c>
      <c r="B3" s="14" t="s">
        <v>721</v>
      </c>
      <c r="C3" s="14" t="s">
        <v>722</v>
      </c>
      <c r="D3" s="14" t="s">
        <v>723</v>
      </c>
      <c r="E3" s="14" t="s">
        <v>724</v>
      </c>
    </row>
    <row r="4" spans="1:5" x14ac:dyDescent="0.25">
      <c r="A4" t="s">
        <v>166</v>
      </c>
      <c r="B4" s="11">
        <v>10040</v>
      </c>
      <c r="C4" s="11">
        <v>5.51</v>
      </c>
      <c r="D4" s="11">
        <v>20</v>
      </c>
      <c r="E4" s="12">
        <v>502</v>
      </c>
    </row>
    <row r="5" spans="1:5" x14ac:dyDescent="0.25">
      <c r="A5" t="s">
        <v>13</v>
      </c>
      <c r="B5" s="11">
        <v>8664</v>
      </c>
      <c r="C5" s="11">
        <v>3.0599999999999996</v>
      </c>
      <c r="D5" s="11">
        <v>25</v>
      </c>
      <c r="E5" s="12">
        <v>346.56</v>
      </c>
    </row>
    <row r="6" spans="1:5" x14ac:dyDescent="0.25">
      <c r="A6" t="s">
        <v>23</v>
      </c>
      <c r="B6" s="11">
        <v>167522</v>
      </c>
      <c r="C6" s="11">
        <v>94.38</v>
      </c>
      <c r="D6" s="11">
        <v>786</v>
      </c>
      <c r="E6" s="12">
        <v>213.1323155216285</v>
      </c>
    </row>
    <row r="7" spans="1:5" x14ac:dyDescent="0.25">
      <c r="A7" t="s">
        <v>43</v>
      </c>
      <c r="B7" s="11">
        <v>45078</v>
      </c>
      <c r="C7" s="11">
        <v>18.670000000000002</v>
      </c>
      <c r="D7" s="11">
        <v>318</v>
      </c>
      <c r="E7" s="12">
        <v>141.75471698113208</v>
      </c>
    </row>
    <row r="8" spans="1:5" x14ac:dyDescent="0.25">
      <c r="A8" t="s">
        <v>91</v>
      </c>
      <c r="B8" s="11">
        <v>31749</v>
      </c>
      <c r="C8" s="11">
        <v>20.919999999999998</v>
      </c>
      <c r="D8" s="11">
        <v>466</v>
      </c>
      <c r="E8" s="12">
        <v>68.130901287553641</v>
      </c>
    </row>
    <row r="9" spans="1:5" x14ac:dyDescent="0.25">
      <c r="A9" t="s">
        <v>18</v>
      </c>
      <c r="B9" s="11">
        <v>258797</v>
      </c>
      <c r="C9" s="11">
        <v>83.14</v>
      </c>
      <c r="D9" s="11">
        <v>3330</v>
      </c>
      <c r="E9" s="12">
        <v>77.716816816816817</v>
      </c>
    </row>
    <row r="10" spans="1:5" x14ac:dyDescent="0.25">
      <c r="A10" t="s">
        <v>69</v>
      </c>
      <c r="B10" s="11">
        <v>2442</v>
      </c>
      <c r="C10" s="11">
        <v>1.43</v>
      </c>
      <c r="D10" s="11">
        <v>8</v>
      </c>
      <c r="E10" s="12">
        <v>305.25</v>
      </c>
    </row>
    <row r="11" spans="1:5" x14ac:dyDescent="0.25">
      <c r="A11" t="s">
        <v>45</v>
      </c>
      <c r="B11" s="11">
        <v>62448</v>
      </c>
      <c r="C11" s="11">
        <v>31.49</v>
      </c>
      <c r="D11" s="11">
        <v>298</v>
      </c>
      <c r="E11" s="12">
        <v>209.55704697986576</v>
      </c>
    </row>
    <row r="12" spans="1:5" x14ac:dyDescent="0.25">
      <c r="A12" t="s">
        <v>35</v>
      </c>
      <c r="B12" s="11">
        <v>17956</v>
      </c>
      <c r="C12" s="11">
        <v>5.47</v>
      </c>
      <c r="D12" s="11">
        <v>92</v>
      </c>
      <c r="E12" s="12">
        <v>195.17391304347825</v>
      </c>
    </row>
    <row r="13" spans="1:5" x14ac:dyDescent="0.25">
      <c r="A13" t="s">
        <v>187</v>
      </c>
      <c r="B13" s="11">
        <v>1066</v>
      </c>
      <c r="C13" s="11">
        <v>1.59</v>
      </c>
      <c r="D13" s="11">
        <v>5</v>
      </c>
      <c r="E13" s="12">
        <v>213.2</v>
      </c>
    </row>
    <row r="14" spans="1:5" x14ac:dyDescent="0.25">
      <c r="A14" t="s">
        <v>63</v>
      </c>
      <c r="B14" s="11">
        <v>81678</v>
      </c>
      <c r="C14" s="11">
        <v>41.44</v>
      </c>
      <c r="D14" s="11">
        <v>150</v>
      </c>
      <c r="E14" s="12">
        <v>544.52</v>
      </c>
    </row>
    <row r="15" spans="1:5" x14ac:dyDescent="0.25">
      <c r="A15" t="s">
        <v>171</v>
      </c>
      <c r="B15" s="11">
        <v>1395</v>
      </c>
      <c r="C15" s="11">
        <v>1.78</v>
      </c>
      <c r="D15" s="11">
        <v>5</v>
      </c>
      <c r="E15" s="12">
        <v>279</v>
      </c>
    </row>
    <row r="16" spans="1:5" x14ac:dyDescent="0.25">
      <c r="A16" t="s">
        <v>78</v>
      </c>
      <c r="B16" s="11">
        <v>54231</v>
      </c>
      <c r="C16" s="11">
        <v>43.510000000000005</v>
      </c>
      <c r="D16" s="11">
        <v>156</v>
      </c>
      <c r="E16" s="12">
        <v>347.63461538461536</v>
      </c>
    </row>
    <row r="17" spans="1:5" x14ac:dyDescent="0.25">
      <c r="A17" t="s">
        <v>3</v>
      </c>
      <c r="B17" s="11">
        <v>45526</v>
      </c>
      <c r="C17" s="11">
        <v>48.27</v>
      </c>
      <c r="D17" s="11">
        <v>251</v>
      </c>
      <c r="E17" s="12">
        <v>181.3784860557769</v>
      </c>
    </row>
    <row r="18" spans="1:5" x14ac:dyDescent="0.25">
      <c r="A18" t="s">
        <v>121</v>
      </c>
      <c r="B18" s="11">
        <v>24705</v>
      </c>
      <c r="C18" s="11">
        <v>10.73</v>
      </c>
      <c r="D18" s="11">
        <v>276</v>
      </c>
      <c r="E18" s="12">
        <v>89.510869565217391</v>
      </c>
    </row>
    <row r="19" spans="1:5" x14ac:dyDescent="0.25">
      <c r="A19" t="s">
        <v>175</v>
      </c>
      <c r="B19" s="11">
        <v>9831</v>
      </c>
      <c r="C19" s="11">
        <v>6.98</v>
      </c>
      <c r="D19" s="11">
        <v>275</v>
      </c>
      <c r="E19" s="12">
        <v>35.74909090909091</v>
      </c>
    </row>
    <row r="20" spans="1:5" x14ac:dyDescent="0.25">
      <c r="A20" t="s">
        <v>8</v>
      </c>
      <c r="B20" s="11">
        <v>2030179</v>
      </c>
      <c r="C20" s="11">
        <v>423.25</v>
      </c>
      <c r="D20" s="11">
        <v>35626</v>
      </c>
      <c r="E20" s="12">
        <v>56.985881098074437</v>
      </c>
    </row>
    <row r="21" spans="1:5" x14ac:dyDescent="0.25">
      <c r="A21" t="s">
        <v>16</v>
      </c>
      <c r="B21" s="11">
        <v>92468</v>
      </c>
      <c r="C21" s="11">
        <v>70.45</v>
      </c>
      <c r="D21" s="11">
        <v>1828</v>
      </c>
      <c r="E21" s="12">
        <v>50.584245076586434</v>
      </c>
    </row>
    <row r="22" spans="1:5" x14ac:dyDescent="0.25">
      <c r="A22" t="s">
        <v>54</v>
      </c>
      <c r="B22" s="11">
        <v>25603</v>
      </c>
      <c r="C22" s="11">
        <v>15.95</v>
      </c>
      <c r="D22" s="11">
        <v>138</v>
      </c>
      <c r="E22" s="12">
        <v>185.52898550724638</v>
      </c>
    </row>
    <row r="23" spans="1:5" x14ac:dyDescent="0.25">
      <c r="A23" t="s">
        <v>25</v>
      </c>
      <c r="B23" s="11">
        <v>6938</v>
      </c>
      <c r="C23" s="11">
        <v>4.38</v>
      </c>
      <c r="D23" s="11">
        <v>91</v>
      </c>
      <c r="E23" s="12">
        <v>76.241758241758248</v>
      </c>
    </row>
    <row r="24" spans="1:5" x14ac:dyDescent="0.25">
      <c r="A24" t="s">
        <v>47</v>
      </c>
      <c r="B24" s="11">
        <v>32288</v>
      </c>
      <c r="C24" s="11">
        <v>19.519999999999996</v>
      </c>
      <c r="D24" s="11">
        <v>201</v>
      </c>
      <c r="E24" s="12">
        <v>160.63681592039802</v>
      </c>
    </row>
    <row r="25" spans="1:5" x14ac:dyDescent="0.25">
      <c r="A25" t="s">
        <v>67</v>
      </c>
      <c r="B25" s="11">
        <v>2622</v>
      </c>
      <c r="C25" s="11">
        <v>2.83</v>
      </c>
      <c r="D25" s="11">
        <v>7</v>
      </c>
      <c r="E25" s="12">
        <v>374.57142857142856</v>
      </c>
    </row>
    <row r="26" spans="1:5" x14ac:dyDescent="0.25">
      <c r="A26" t="s">
        <v>203</v>
      </c>
      <c r="B26" s="11">
        <v>10655</v>
      </c>
      <c r="C26" s="11">
        <v>5.76</v>
      </c>
      <c r="D26" s="11">
        <v>165</v>
      </c>
      <c r="E26" s="12">
        <v>64.575757575757578</v>
      </c>
    </row>
    <row r="27" spans="1:5" x14ac:dyDescent="0.25">
      <c r="A27" t="s">
        <v>33</v>
      </c>
      <c r="B27" s="11">
        <v>13233</v>
      </c>
      <c r="C27" s="11">
        <v>9.57</v>
      </c>
      <c r="D27" s="11">
        <v>31</v>
      </c>
      <c r="E27" s="12">
        <v>426.87096774193549</v>
      </c>
    </row>
    <row r="28" spans="1:5" x14ac:dyDescent="0.25">
      <c r="A28" t="s">
        <v>104</v>
      </c>
      <c r="B28" s="11">
        <v>7179</v>
      </c>
      <c r="C28" s="11">
        <v>9.14</v>
      </c>
      <c r="D28" s="11">
        <v>32</v>
      </c>
      <c r="E28" s="12">
        <v>224.34375</v>
      </c>
    </row>
    <row r="29" spans="1:5" x14ac:dyDescent="0.25">
      <c r="A29" t="s">
        <v>152</v>
      </c>
      <c r="B29" s="11">
        <v>2199</v>
      </c>
      <c r="C29" s="11">
        <v>1.35</v>
      </c>
      <c r="D29" s="11">
        <v>11</v>
      </c>
      <c r="E29" s="12">
        <v>199.90909090909091</v>
      </c>
    </row>
    <row r="30" spans="1:5" x14ac:dyDescent="0.25">
      <c r="A30" t="s">
        <v>29</v>
      </c>
      <c r="B30" s="11">
        <v>460740</v>
      </c>
      <c r="C30" s="11">
        <v>142.36000000000001</v>
      </c>
      <c r="D30" s="11">
        <v>3975</v>
      </c>
      <c r="E30" s="12">
        <v>115.90943396226415</v>
      </c>
    </row>
    <row r="31" spans="1:5" x14ac:dyDescent="0.25">
      <c r="A31" t="s">
        <v>10</v>
      </c>
      <c r="B31" s="11">
        <v>74829</v>
      </c>
      <c r="C31" s="11">
        <v>32.18</v>
      </c>
      <c r="D31" s="11">
        <v>664</v>
      </c>
      <c r="E31" s="12">
        <v>112.69427710843374</v>
      </c>
    </row>
    <row r="32" spans="1:5" x14ac:dyDescent="0.25">
      <c r="A32" t="s">
        <v>157</v>
      </c>
      <c r="B32" s="11">
        <v>2608</v>
      </c>
      <c r="C32" s="11">
        <v>4.0600000000000005</v>
      </c>
      <c r="D32" s="11">
        <v>24</v>
      </c>
      <c r="E32" s="12">
        <v>108.66666666666667</v>
      </c>
    </row>
    <row r="33" spans="1:5" x14ac:dyDescent="0.25">
      <c r="A33" t="s">
        <v>12</v>
      </c>
      <c r="B33" s="11">
        <v>439181</v>
      </c>
      <c r="C33" s="11">
        <v>125.72999999999998</v>
      </c>
      <c r="D33" s="11">
        <v>5319</v>
      </c>
      <c r="E33" s="12">
        <v>82.568339913517576</v>
      </c>
    </row>
    <row r="34" spans="1:5" x14ac:dyDescent="0.25">
      <c r="A34" t="s">
        <v>6</v>
      </c>
      <c r="B34" s="11">
        <v>367553</v>
      </c>
      <c r="C34" s="11">
        <v>133.4</v>
      </c>
      <c r="D34" s="11">
        <v>1265</v>
      </c>
      <c r="E34" s="12">
        <v>290.55573122529643</v>
      </c>
    </row>
    <row r="35" spans="1:5" x14ac:dyDescent="0.25">
      <c r="A35" t="s">
        <v>51</v>
      </c>
      <c r="B35" s="11">
        <v>9143</v>
      </c>
      <c r="C35" s="11">
        <v>7.07</v>
      </c>
      <c r="D35" s="11">
        <v>41</v>
      </c>
      <c r="E35" s="12">
        <v>223</v>
      </c>
    </row>
    <row r="36" spans="1:5" x14ac:dyDescent="0.25">
      <c r="A36" t="s">
        <v>116</v>
      </c>
      <c r="B36" s="11">
        <v>143106</v>
      </c>
      <c r="C36" s="11">
        <v>57.04999999999999</v>
      </c>
      <c r="D36" s="11">
        <v>2433</v>
      </c>
      <c r="E36" s="12">
        <v>58.818742293464858</v>
      </c>
    </row>
    <row r="37" spans="1:5" x14ac:dyDescent="0.25">
      <c r="A37" t="s">
        <v>60</v>
      </c>
      <c r="B37" s="11">
        <v>43753</v>
      </c>
      <c r="C37" s="11">
        <v>17</v>
      </c>
      <c r="D37" s="11">
        <v>440</v>
      </c>
      <c r="E37" s="12">
        <v>99.438636363636363</v>
      </c>
    </row>
    <row r="38" spans="1:5" x14ac:dyDescent="0.25">
      <c r="A38" t="s">
        <v>21</v>
      </c>
      <c r="B38" s="11">
        <v>134047</v>
      </c>
      <c r="C38" s="11">
        <v>48.49</v>
      </c>
      <c r="D38" s="11">
        <v>1664</v>
      </c>
      <c r="E38" s="12">
        <v>80.55709134615384</v>
      </c>
    </row>
    <row r="39" spans="1:5" x14ac:dyDescent="0.25">
      <c r="A39" t="s">
        <v>58</v>
      </c>
      <c r="B39" s="11">
        <v>39252</v>
      </c>
      <c r="C39" s="11">
        <v>15.89</v>
      </c>
      <c r="D39" s="11">
        <v>88</v>
      </c>
      <c r="E39" s="12">
        <v>446.04545454545456</v>
      </c>
    </row>
    <row r="40" spans="1:5" x14ac:dyDescent="0.25">
      <c r="A40" t="s">
        <v>98</v>
      </c>
      <c r="B40" s="11">
        <v>164267</v>
      </c>
      <c r="C40" s="11">
        <v>60.809999999999995</v>
      </c>
      <c r="D40" s="11">
        <v>301</v>
      </c>
      <c r="E40" s="12">
        <v>545.73754152823915</v>
      </c>
    </row>
    <row r="41" spans="1:5" x14ac:dyDescent="0.25">
      <c r="A41" t="s">
        <v>714</v>
      </c>
      <c r="B41" s="11">
        <v>4924971</v>
      </c>
      <c r="C41" s="11">
        <v>1624.6100000000004</v>
      </c>
      <c r="D41" s="11">
        <v>60805</v>
      </c>
      <c r="E41" s="11">
        <v>80.996151632267086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City_Table</vt:lpstr>
      <vt:lpstr>Cars_Per_City</vt:lpstr>
      <vt:lpstr>Cars_Per_County</vt:lpstr>
      <vt:lpstr>County_Table</vt:lpstr>
      <vt:lpstr>City_Table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</dc:creator>
  <cp:lastModifiedBy>FAB</cp:lastModifiedBy>
  <dcterms:created xsi:type="dcterms:W3CDTF">2021-02-06T17:31:15Z</dcterms:created>
  <dcterms:modified xsi:type="dcterms:W3CDTF">2021-02-08T21:45:27Z</dcterms:modified>
</cp:coreProperties>
</file>